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k Index" sheetId="1" state="visible" r:id="rId1"/>
    <sheet name="FM-RF Links" sheetId="2" state="visible" r:id="rId2"/>
    <sheet name="Taxonomy" sheetId="3" state="visible" r:id="rId3"/>
    <sheet name="Instances" sheetId="4" state="visible" r:id="rId4"/>
    <sheet name="Evidence" sheetId="5" state="visible" r:id="rId5"/>
    <sheet name="Sources" sheetId="6" state="visible" r:id="rId6"/>
    <sheet name="Notes" sheetId="7" state="visible" r:id="rId7"/>
  </sheets>
  <definedNames>
    <definedName name="_xlnm._FilterDatabase" localSheetId="0" hidden="1">'Risk Index'!$A$1:$I$11</definedName>
    <definedName name="_xlnm._FilterDatabase" localSheetId="1" hidden="1">'FM-RF Links'!$A$1:$Q$15</definedName>
    <definedName name="_xlnm._FilterDatabase" localSheetId="2" hidden="1">'Taxonomy'!$A$1:$M$11</definedName>
    <definedName name="_xlnm._FilterDatabase" localSheetId="3" hidden="1">'Instances'!$A$1:$K$34</definedName>
    <definedName name="_xlnm._FilterDatabase" localSheetId="4" hidden="1">'Evidence'!$A$1:$X$41</definedName>
    <definedName name="_xlnm._FilterDatabase" localSheetId="5" hidden="1">'Sources'!$A$1:$D$31</definedName>
  </definedNames>
  <calcPr calcId="124519" fullCalcOnLoad="1"/>
</workbook>
</file>

<file path=xl/styles.xml><?xml version="1.0" encoding="utf-8"?>
<styleSheet xmlns="http://schemas.openxmlformats.org/spreadsheetml/2006/main">
  <numFmts count="3">
    <numFmt numFmtId="164" formatCode="yyyy-mm-dd"/>
    <numFmt numFmtId="165" formatCode="yyyy"/>
    <numFmt numFmtId="166" formatCode="yyyy-mm"/>
  </numFmts>
  <fonts count="5">
    <font>
      <name val="Calibri"/>
      <family val="2"/>
      <color theme="1"/>
      <sz val="11"/>
      <scheme val="minor"/>
    </font>
    <font>
      <name val="Arial"/>
      <b val="1"/>
      <color rgb="00FFFFFF"/>
      <sz val="10"/>
    </font>
    <font>
      <name val="Arial"/>
      <sz val="10"/>
    </font>
    <font>
      <name val="Arial"/>
      <color rgb="000563C1"/>
      <sz val="10"/>
      <u val="single"/>
    </font>
    <font>
      <name val="Arial"/>
      <b val="1"/>
      <sz val="10"/>
    </font>
  </fonts>
  <fills count="8">
    <fill>
      <patternFill/>
    </fill>
    <fill>
      <patternFill patternType="gray125"/>
    </fill>
    <fill>
      <patternFill patternType="solid">
        <fgColor rgb="001F3864"/>
      </patternFill>
    </fill>
    <fill>
      <patternFill patternType="solid">
        <fgColor rgb="00F2F2F2"/>
      </patternFill>
    </fill>
    <fill>
      <patternFill patternType="solid">
        <fgColor rgb="00DEEAF6"/>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wrapText="1"/>
    </xf>
    <xf numFmtId="0" fontId="2" fillId="4" borderId="1" applyAlignment="1" pivotButton="0" quotePrefix="0" xfId="0">
      <alignment vertical="top" wrapText="1"/>
    </xf>
    <xf numFmtId="2" fontId="2" fillId="4" borderId="1" applyAlignment="1" pivotButton="0" quotePrefix="0" xfId="0">
      <alignment horizontal="center" vertical="top"/>
    </xf>
    <xf numFmtId="0" fontId="2" fillId="4" borderId="1" applyAlignment="1" pivotButton="0" quotePrefix="0" xfId="0">
      <alignment horizontal="center" vertical="top"/>
    </xf>
    <xf numFmtId="0" fontId="2" fillId="0" borderId="1" applyAlignment="1" pivotButton="0" quotePrefix="0" xfId="0">
      <alignment vertical="top" wrapText="1"/>
    </xf>
    <xf numFmtId="2" fontId="2" fillId="0" borderId="1" applyAlignment="1" pivotButton="0" quotePrefix="0" xfId="0">
      <alignment horizontal="center" vertical="top"/>
    </xf>
    <xf numFmtId="0" fontId="2" fillId="0" borderId="1" applyAlignment="1" pivotButton="0" quotePrefix="0" xfId="0">
      <alignment horizontal="center" vertical="top"/>
    </xf>
    <xf numFmtId="0" fontId="2" fillId="0" borderId="0" applyAlignment="1" pivotButton="0" quotePrefix="0" xfId="0">
      <alignment vertical="top" wrapText="1"/>
    </xf>
    <xf numFmtId="0" fontId="2" fillId="5" borderId="1" applyAlignment="1" pivotButton="0" quotePrefix="0" xfId="0">
      <alignment vertical="top" wrapText="1"/>
    </xf>
    <xf numFmtId="0" fontId="2" fillId="5" borderId="1" applyAlignment="1" pivotButton="0" quotePrefix="0" xfId="0">
      <alignment horizontal="center" vertical="top"/>
    </xf>
    <xf numFmtId="0" fontId="2" fillId="6" borderId="1" applyAlignment="1" pivotButton="0" quotePrefix="0" xfId="0">
      <alignment vertical="top" wrapText="1"/>
    </xf>
    <xf numFmtId="0" fontId="2" fillId="6" borderId="1" applyAlignment="1" pivotButton="0" quotePrefix="0" xfId="0">
      <alignment horizontal="center" vertical="top"/>
    </xf>
    <xf numFmtId="0" fontId="2" fillId="7" borderId="1" applyAlignment="1" pivotButton="0" quotePrefix="0" xfId="0">
      <alignment vertical="top" wrapText="1"/>
    </xf>
    <xf numFmtId="0" fontId="2" fillId="3" borderId="1" applyAlignment="1" pivotButton="0" quotePrefix="0" xfId="0">
      <alignment vertical="top" wrapText="1"/>
    </xf>
    <xf numFmtId="164" fontId="2" fillId="3" borderId="1" applyAlignment="1" pivotButton="0" quotePrefix="0" xfId="0">
      <alignment vertical="top" wrapText="1"/>
    </xf>
    <xf numFmtId="0" fontId="2" fillId="3" borderId="1" applyAlignment="1" pivotButton="0" quotePrefix="0" xfId="0">
      <alignment horizontal="center" vertical="top"/>
    </xf>
    <xf numFmtId="0" fontId="3" fillId="3" borderId="1" applyAlignment="1" pivotButton="0" quotePrefix="0" xfId="0">
      <alignment vertical="top" wrapText="1"/>
    </xf>
    <xf numFmtId="165" fontId="2" fillId="3" borderId="1" applyAlignment="1" pivotButton="0" quotePrefix="0" xfId="0">
      <alignment vertical="top" wrapText="1"/>
    </xf>
    <xf numFmtId="164" fontId="2" fillId="0" borderId="1" applyAlignment="1" pivotButton="0" quotePrefix="0" xfId="0">
      <alignment vertical="top" wrapText="1"/>
    </xf>
    <xf numFmtId="0" fontId="3" fillId="0" borderId="1" applyAlignment="1" pivotButton="0" quotePrefix="0" xfId="0">
      <alignment vertical="top" wrapText="1"/>
    </xf>
    <xf numFmtId="166" fontId="2" fillId="0" borderId="1" applyAlignment="1" pivotButton="0" quotePrefix="0" xfId="0">
      <alignment vertical="top" wrapText="1"/>
    </xf>
    <xf numFmtId="0" fontId="4"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arxiv.org/abs/2502.14143" TargetMode="External" Id="rId1" /><Relationship Type="http://schemas.openxmlformats.org/officeDocument/2006/relationships/hyperlink" Target="https://arxiv.org/abs/2502.14143" TargetMode="External" Id="rId2" /><Relationship Type="http://schemas.openxmlformats.org/officeDocument/2006/relationships/hyperlink" Target="https://arxiv.org/abs/2502.14143" TargetMode="External" Id="rId3" /><Relationship Type="http://schemas.openxmlformats.org/officeDocument/2006/relationships/hyperlink" Target="https://arxiv.org/abs/2502.14143" TargetMode="External" Id="rId4" /><Relationship Type="http://schemas.openxmlformats.org/officeDocument/2006/relationships/hyperlink" Target="https://arxiv.org/abs/2502.14143" TargetMode="External" Id="rId5" /><Relationship Type="http://schemas.openxmlformats.org/officeDocument/2006/relationships/hyperlink" Target="https://arxiv.org/abs/2502.14143" TargetMode="External" Id="rId6" /><Relationship Type="http://schemas.openxmlformats.org/officeDocument/2006/relationships/hyperlink" Target="https://arxiv.org/abs/2502.14143" TargetMode="External" Id="rId7" /><Relationship Type="http://schemas.openxmlformats.org/officeDocument/2006/relationships/hyperlink" Target="https://arxiv.org/abs/2502.14143" TargetMode="External" Id="rId8" /><Relationship Type="http://schemas.openxmlformats.org/officeDocument/2006/relationships/hyperlink" Target="https://arxiv.org/abs/2502.14143" TargetMode="External" Id="rId9" /><Relationship Type="http://schemas.openxmlformats.org/officeDocument/2006/relationships/hyperlink" Target="https://arxiv.org/abs/2502.14143" TargetMode="External" Id="rId10" /><Relationship Type="http://schemas.openxmlformats.org/officeDocument/2006/relationships/hyperlink" Target="https://arxiv.org/abs/2502.14143" TargetMode="External" Id="rId11" /><Relationship Type="http://schemas.openxmlformats.org/officeDocument/2006/relationships/hyperlink" Target="https://arxiv.org/abs/2502.14143" TargetMode="External" Id="rId12" /><Relationship Type="http://schemas.openxmlformats.org/officeDocument/2006/relationships/hyperlink" Target="https://arxiv.org/abs/2502.14143" TargetMode="External" Id="rId13" /><Relationship Type="http://schemas.openxmlformats.org/officeDocument/2006/relationships/hyperlink" Target="https://aivillageblog.substack.com/p/persuasion-in-the-ai-village-deepseek" TargetMode="External" Id="rId14" /><Relationship Type="http://schemas.openxmlformats.org/officeDocument/2006/relationships/hyperlink" Target="https://agentincident.vercel.app/i/AIR-2026-0193/" TargetMode="External" Id="rId15" /><Relationship Type="http://schemas.openxmlformats.org/officeDocument/2006/relationships/hyperlink" Target="https://agentincident.vercel.app/i/AIR-2026-0189/" TargetMode="External" Id="rId16" /><Relationship Type="http://schemas.openxmlformats.org/officeDocument/2006/relationships/hyperlink" Target="https://agentincident.vercel.app/i/AIR-2026-0183/" TargetMode="External" Id="rId17" /><Relationship Type="http://schemas.openxmlformats.org/officeDocument/2006/relationships/hyperlink" Target="https://agentincident.vercel.app/i/AIR-2026-0180/" TargetMode="External" Id="rId18" /><Relationship Type="http://schemas.openxmlformats.org/officeDocument/2006/relationships/hyperlink" Target="https://www.reuters.com/business/its-ai-agent-spent-days-hacking-company-sources-say-openai-did-not-notice-week-2026-07-24/" TargetMode="External" Id="rId19" /><Relationship Type="http://schemas.openxmlformats.org/officeDocument/2006/relationships/hyperlink" Target="https://aivillageblog.substack.com/p/ais-finetune-their-own-leader-a-barking" TargetMode="External" Id="rId20" /><Relationship Type="http://schemas.openxmlformats.org/officeDocument/2006/relationships/hyperlink" Target="https://cdn.openai.com/pdf/67869394-cb91-4c12-888c-5cbd85c7814c/OpenAI-Hugging-Face%20Incident-Technical-Report.pdf" TargetMode="External" Id="rId21" /><Relationship Type="http://schemas.openxmlformats.org/officeDocument/2006/relationships/hyperlink" Target="https://agentincident.vercel.app/i/AIR-2026-0194/" TargetMode="External" Id="rId22" /><Relationship Type="http://schemas.openxmlformats.org/officeDocument/2006/relationships/hyperlink" Target="https://www.kennethdegraff.com/swarm" TargetMode="External" Id="rId23" /><Relationship Type="http://schemas.openxmlformats.org/officeDocument/2006/relationships/hyperlink" Target="https://agentincident.vercel.app/i/AIR-2026-0219/" TargetMode="External" Id="rId24" /><Relationship Type="http://schemas.openxmlformats.org/officeDocument/2006/relationships/hyperlink" Target="https://www.rubyhack.ai/" TargetMode="External" Id="rId25" /><Relationship Type="http://schemas.openxmlformats.org/officeDocument/2006/relationships/hyperlink" Target="https://agentincident.vercel.app/i/AIR-2026-0101/" TargetMode="External" Id="rId26" /><Relationship Type="http://schemas.openxmlformats.org/officeDocument/2006/relationships/hyperlink" Target="https://aivillageblog.substack.com/p/can-agents-fool-each-other" TargetMode="External" Id="rId27" /><Relationship Type="http://schemas.openxmlformats.org/officeDocument/2006/relationships/hyperlink" Target="https://agentincident.vercel.app/i/AIR-2026-0029/" TargetMode="External" Id="rId28" /><Relationship Type="http://schemas.openxmlformats.org/officeDocument/2006/relationships/hyperlink" Target="https://www.lesswrong.com/posts/jDeggMA22t3jGbTw6/36-000-ai-agents-are-now-speedrunning-civilization" TargetMode="External" Id="rId29" /><Relationship Type="http://schemas.openxmlformats.org/officeDocument/2006/relationships/hyperlink" Target="https://aivillageblog.substack.com/p/ai-village-reacts-to-huggingface" TargetMode="External" Id="rId30" /><Relationship Type="http://schemas.openxmlformats.org/officeDocument/2006/relationships/hyperlink" Target="https://agentincident.vercel.app/i/AIR-2025-0177/" TargetMode="External" Id="rId31" /><Relationship Type="http://schemas.openxmlformats.org/officeDocument/2006/relationships/hyperlink" Target="https://agentincident.vercel.app/i/AIR-2025-0149/" TargetMode="External" Id="rId32" /><Relationship Type="http://schemas.openxmlformats.org/officeDocument/2006/relationships/hyperlink" Target="https://agentincident.vercel.app/i/AIR-2025-0136/" TargetMode="External" Id="rId33" /><Relationship Type="http://schemas.openxmlformats.org/officeDocument/2006/relationships/hyperlink" Target="https://www.lesswrong.com/posts/89qhQH8eHsrZxveHp/claude-plays-whatever-it-wants" TargetMode="External" Id="rId34" /><Relationship Type="http://schemas.openxmlformats.org/officeDocument/2006/relationships/hyperlink" Target="https://agentincident.vercel.app/i/AIR-2025-0070/" TargetMode="External" Id="rId35" /><Relationship Type="http://schemas.openxmlformats.org/officeDocument/2006/relationships/hyperlink" Target="https://agentincident.vercel.app/i/AIR-2025-0068/" TargetMode="External" Id="rId36" /><Relationship Type="http://schemas.openxmlformats.org/officeDocument/2006/relationships/hyperlink" Target="https://aivillageblog.substack.com/p/season-2-recap-ai-organizes-event" TargetMode="External" Id="rId37" /><Relationship Type="http://schemas.openxmlformats.org/officeDocument/2006/relationships/hyperlink" Target="https://agentincident.vercel.app/i/AIR-2025-0027/" TargetMode="External" Id="rId38" /><Relationship Type="http://schemas.openxmlformats.org/officeDocument/2006/relationships/hyperlink" Target="https://agentincident.vercel.app/i/AIR-2025-0019/" TargetMode="External" Id="rId39" /><Relationship Type="http://schemas.openxmlformats.org/officeDocument/2006/relationships/hyperlink" Target="https://aivillageblog.substack.com/p/what-we-learned-2025" TargetMode="External" Id="rId40" /></Relationships>
</file>

<file path=xl/worksheets/_rels/sheet6.xml.rels><Relationships xmlns="http://schemas.openxmlformats.org/package/2006/relationships"><Relationship Type="http://schemas.openxmlformats.org/officeDocument/2006/relationships/hyperlink" Target="https://cdn.openai.com/pdf/67869394-cb91-4c12-888c-5cbd85c7814c/OpenAI-Hugging-Face%20Incident-Technical-Report.pdf" TargetMode="External" Id="rId1" /><Relationship Type="http://schemas.openxmlformats.org/officeDocument/2006/relationships/hyperlink" Target="https://openai.com/index/hugging-face-model-evaluation-security-incident/" TargetMode="External" Id="rId2" /><Relationship Type="http://schemas.openxmlformats.org/officeDocument/2006/relationships/hyperlink" Target="https://openai.com/index/hugging-face-incident-and-the-road-ahead/" TargetMode="External" Id="rId3" /><Relationship Type="http://schemas.openxmlformats.org/officeDocument/2006/relationships/hyperlink" Target="https://huggingface.co/blog/security-incident-july-2026" TargetMode="External" Id="rId4" /><Relationship Type="http://schemas.openxmlformats.org/officeDocument/2006/relationships/hyperlink" Target="https://huggingface.co/blog/agent-intrusion-technical-timeline" TargetMode="External" Id="rId5" /><Relationship Type="http://schemas.openxmlformats.org/officeDocument/2006/relationships/hyperlink" Target="https://metr.org/blog/2026-08-26-openai-hugging-face-incident-investigation/" TargetMode="External" Id="rId6" /><Relationship Type="http://schemas.openxmlformats.org/officeDocument/2006/relationships/hyperlink" Target="https://www.alignmentforum.org/posts/nB8KKapnWGBXtKKiM/brief-independent-investigation-of-agents-behavior-reasoning" TargetMode="External" Id="rId7" /><Relationship Type="http://schemas.openxmlformats.org/officeDocument/2006/relationships/hyperlink" Target="https://www.lesswrong.com/posts/Khmh3ghqaGEpmpC9r/openai-offers-straight-laced-postmortem-of-the-huggingface" TargetMode="External" Id="rId8" /><Relationship Type="http://schemas.openxmlformats.org/officeDocument/2006/relationships/hyperlink" Target="https://www.kennethdegraff.com/swarm" TargetMode="External" Id="rId9" /><Relationship Type="http://schemas.openxmlformats.org/officeDocument/2006/relationships/hyperlink" Target="https://www.rubyhack.ai/" TargetMode="External" Id="rId10" /><Relationship Type="http://schemas.openxmlformats.org/officeDocument/2006/relationships/hyperlink" Target="https://www.reuters.com/business/its-ai-agent-spent-days-hacking-company-sources-say-openai-did-not-notice-week-2026-07-24/" TargetMode="External" Id="rId11" /><Relationship Type="http://schemas.openxmlformats.org/officeDocument/2006/relationships/hyperlink" Target="https://www.lesswrong.com/posts/jDeggMA22t3jGbTw6/36-000-ai-agents-are-now-speedrunning-civilization" TargetMode="External" Id="rId12" /><Relationship Type="http://schemas.openxmlformats.org/officeDocument/2006/relationships/hyperlink" Target="https://www.lesswrong.com/posts/WyrxmTwYbrwsT72sD/moltbook-data-repository" TargetMode="External" Id="rId13" /><Relationship Type="http://schemas.openxmlformats.org/officeDocument/2006/relationships/hyperlink" Target="https://www.youtube.com/watch?v=87DyyMV0kCY" TargetMode="External" Id="rId14" /><Relationship Type="http://schemas.openxmlformats.org/officeDocument/2006/relationships/hyperlink" Target="https://collusion.wiki/" TargetMode="External" Id="rId15" /><Relationship Type="http://schemas.openxmlformats.org/officeDocument/2006/relationships/hyperlink" Target="https://x.com/OpenAI/status/2096133504417616165" TargetMode="External" Id="rId16" /><Relationship Type="http://schemas.openxmlformats.org/officeDocument/2006/relationships/hyperlink" Target="https://www.anthropic.com/news/investigating-incidents-cybersecurity-evals" TargetMode="External" Id="rId17" /><Relationship Type="http://schemas.openxmlformats.org/officeDocument/2006/relationships/hyperlink" Target="https://www.aisi.gov.uk/blog/incident-report-unsanctioned-agent-behaviour-during-cyber-testing" TargetMode="External" Id="rId18" /><Relationship Type="http://schemas.openxmlformats.org/officeDocument/2006/relationships/hyperlink" Target="https://www.lesswrong.com/posts/9it8pQRTz3orkZDty/my-short-summary-of-the-openai-agent-swarm-incidents" TargetMode="External" Id="rId19" /><Relationship Type="http://schemas.openxmlformats.org/officeDocument/2006/relationships/hyperlink" Target="https://www.alignmentforum.org/posts/8oFYZdXkTaNGRtcn8/ai-swarms-are-starting-to-pose-indirect-takeover-risk" TargetMode="External" Id="rId20" /><Relationship Type="http://schemas.openxmlformats.org/officeDocument/2006/relationships/hyperlink" Target="https://www.lesswrong.com/posts/Q65SETuTmhF4LWdix/detecting-collusion-through-multi-agent-interpretability-3" TargetMode="External" Id="rId21" /><Relationship Type="http://schemas.openxmlformats.org/officeDocument/2006/relationships/hyperlink" Target="https://www.alignmentforum.org/posts/smMdYezaC8vuiLjCf/secret-collusion-will-we-know-when-to-unplug-ai" TargetMode="External" Id="rId22" /><Relationship Type="http://schemas.openxmlformats.org/officeDocument/2006/relationships/hyperlink" Target="https://aivillageblog.substack.com/p/what-we-learned-2025" TargetMode="External" Id="rId23" /><Relationship Type="http://schemas.openxmlformats.org/officeDocument/2006/relationships/hyperlink" Target="https://aivillageblog.substack.com/p/persuasion-in-the-ai-village-deepseek" TargetMode="External" Id="rId24" /><Relationship Type="http://schemas.openxmlformats.org/officeDocument/2006/relationships/hyperlink" Target="https://aivillageblog.substack.com/p/what-we-learned-2025" TargetMode="External" Id="rId25" /><Relationship Type="http://schemas.openxmlformats.org/officeDocument/2006/relationships/hyperlink" Target="https://x.com/aidigest_/status/2013673155198439507" TargetMode="External" Id="rId26" /><Relationship Type="http://schemas.openxmlformats.org/officeDocument/2006/relationships/hyperlink" Target="https://aivillageblog.substack.com/p/ai-village-reacts-to-huggingface" TargetMode="External" Id="rId27" /><Relationship Type="http://schemas.openxmlformats.org/officeDocument/2006/relationships/hyperlink" Target="https://swarmtraces.org" TargetMode="External" Id="rId28" /><Relationship Type="http://schemas.openxmlformats.org/officeDocument/2006/relationships/hyperlink" Target="https://incidentdatabase.ai/cite/1646/" TargetMode="External" Id="rId29" /><Relationship Type="http://schemas.openxmlformats.org/officeDocument/2006/relationships/hyperlink" Target="https://csoonline.com/article/4209210/ai-agents-wage-near-autonomous-cyberattack-on-asian-government-networks.html" TargetMode="External" Id="rId30" /></Relationships>
</file>

<file path=xl/worksheets/sheet1.xml><?xml version="1.0" encoding="utf-8"?>
<worksheet xmlns="http://schemas.openxmlformats.org/spreadsheetml/2006/main">
  <sheetPr>
    <outlinePr summaryBelow="1" summaryRight="1"/>
    <pageSetUpPr/>
  </sheetPr>
  <dimension ref="A1:I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4" customWidth="1" min="3" max="3"/>
    <col width="8" customWidth="1" min="4" max="4"/>
    <col width="15" customWidth="1" min="5" max="5"/>
    <col width="40" customWidth="1" min="6" max="6"/>
    <col width="11" customWidth="1" min="7" max="7"/>
    <col width="26" customWidth="1" min="8" max="8"/>
    <col width="15" customWidth="1" min="9" max="9"/>
  </cols>
  <sheetData>
    <row r="1" ht="30" customHeight="1">
      <c r="A1" s="1" t="inlineStr">
        <is>
          <t>risk_id</t>
        </is>
      </c>
      <c r="B1" s="1" t="inlineStr">
        <is>
          <t>risk</t>
        </is>
      </c>
      <c r="C1" s="1" t="inlineStr">
        <is>
          <t>risk_type</t>
        </is>
      </c>
      <c r="D1" s="1" t="inlineStr">
        <is>
          <t>section</t>
        </is>
      </c>
      <c r="E1" s="1" t="inlineStr">
        <is>
          <t>grounding_score</t>
        </is>
      </c>
      <c r="F1" s="1" t="inlineStr">
        <is>
          <t>evidence</t>
        </is>
      </c>
      <c r="G1" s="1" t="inlineStr">
        <is>
          <t>evidence_n</t>
        </is>
      </c>
      <c r="H1" s="1" t="inlineStr">
        <is>
          <t>associations</t>
        </is>
      </c>
      <c r="I1" s="1" t="inlineStr">
        <is>
          <t>evidence_link</t>
        </is>
      </c>
    </row>
    <row r="2">
      <c r="A2" s="2" t="inlineStr">
        <is>
          <t>FM1</t>
        </is>
      </c>
      <c r="B2" s="2" t="inlineStr">
        <is>
          <t>Miscoordination</t>
        </is>
      </c>
      <c r="C2" s="2" t="inlineStr">
        <is>
          <t>Failure mode</t>
        </is>
      </c>
      <c r="D2" s="2" t="inlineStr">
        <is>
          <t>2.1</t>
        </is>
      </c>
      <c r="E2" s="3">
        <f>_xlfn.MAXIFS(Evidence!$M$2:$M$90,Evidence!$J$2:$J$90,"*Miscoordination*")/10</f>
        <v/>
      </c>
      <c r="F2" s="2" t="inlineStr">
        <is>
          <t>CS1, AIV-07, AIV-06, AIV-04, AIV-01, AIV-02</t>
        </is>
      </c>
      <c r="G2" s="4" t="n">
        <v>6</v>
      </c>
      <c r="H2" s="2" t="inlineStr">
        <is>
          <t>Information Asymmetries
Network Effects
Selection Pressures
Destabilising Dynamics
Commitment and Trust</t>
        </is>
      </c>
      <c r="I2" s="4" t="inlineStr">
        <is>
          <t>TRUE
TRUE
TRUE
FALSE
TRUE</t>
        </is>
      </c>
    </row>
    <row r="3">
      <c r="A3" s="2" t="inlineStr">
        <is>
          <t>FM2</t>
        </is>
      </c>
      <c r="B3" s="2" t="inlineStr">
        <is>
          <t>Conflict</t>
        </is>
      </c>
      <c r="C3" s="2" t="inlineStr">
        <is>
          <t>Failure mode</t>
        </is>
      </c>
      <c r="D3" s="2" t="inlineStr">
        <is>
          <t>2.2</t>
        </is>
      </c>
      <c r="E3" s="3">
        <f>_xlfn.MAXIFS(Evidence!$M$2:$M$90,Evidence!$J$2:$J$90,"*Conflict*")/10</f>
        <v/>
      </c>
      <c r="F3" s="2" t="inlineStr">
        <is>
          <t>CS2, CS3, CS6, CS9, CS11</t>
        </is>
      </c>
      <c r="G3" s="4" t="n">
        <v>5</v>
      </c>
      <c r="H3" s="2" t="inlineStr">
        <is>
          <t>Information Asymmetries
Selection Pressures
Destabilising Dynamics
Commitment and Trust
Multi-Agent Security</t>
        </is>
      </c>
      <c r="I3" s="4" t="inlineStr">
        <is>
          <t>TRUE
TRUE
TRUE
TRUE
FALSE</t>
        </is>
      </c>
    </row>
    <row r="4">
      <c r="A4" s="2" t="inlineStr">
        <is>
          <t>FM3</t>
        </is>
      </c>
      <c r="B4" s="2" t="inlineStr">
        <is>
          <t>Collusion</t>
        </is>
      </c>
      <c r="C4" s="2" t="inlineStr">
        <is>
          <t>Failure mode</t>
        </is>
      </c>
      <c r="D4" s="2" t="inlineStr">
        <is>
          <t>2.3</t>
        </is>
      </c>
      <c r="E4" s="3">
        <f>_xlfn.MAXIFS(Evidence!$M$2:$M$90,Evidence!$J$2:$J$90,"*Collusion*")/10</f>
        <v/>
      </c>
      <c r="F4" s="2" t="inlineStr">
        <is>
          <t>CS4, CS5, AIR-2026-0183, LW-01, LW-02, AIR-2026-0219</t>
        </is>
      </c>
      <c r="G4" s="4" t="n">
        <v>6</v>
      </c>
      <c r="H4" s="2" t="inlineStr">
        <is>
          <t>Network Effects
Selection Pressures
Emergent Agency
Multi-Agent Security</t>
        </is>
      </c>
      <c r="I4" s="4" t="inlineStr">
        <is>
          <t>TRUE
TRUE
TRUE
TRUE</t>
        </is>
      </c>
    </row>
    <row r="5">
      <c r="A5" s="5" t="inlineStr">
        <is>
          <t>RF1</t>
        </is>
      </c>
      <c r="B5" s="5" t="inlineStr">
        <is>
          <t>Information Asymmetries</t>
        </is>
      </c>
      <c r="C5" s="5" t="inlineStr">
        <is>
          <t>Risk factor</t>
        </is>
      </c>
      <c r="D5" s="5" t="inlineStr">
        <is>
          <t>3.1</t>
        </is>
      </c>
      <c r="E5" s="6">
        <f>_xlfn.MAXIFS(Evidence!$M$2:$M$90,Evidence!$K$2:$K$90,"*Information Asymmetries*")/10</f>
        <v/>
      </c>
      <c r="F5" s="5" t="inlineStr">
        <is>
          <t>CS1, CS6, CS7, AIV-07, AIV-06, AIV-05, AIR-2025-0149, AIV-03, AIV-01, AIV-02</t>
        </is>
      </c>
      <c r="G5" s="7" t="n">
        <v>10</v>
      </c>
      <c r="H5" s="5" t="inlineStr">
        <is>
          <t>Miscoordination
Conflict</t>
        </is>
      </c>
      <c r="I5" s="7" t="inlineStr">
        <is>
          <t>TRUE
TRUE</t>
        </is>
      </c>
    </row>
    <row r="6">
      <c r="A6" s="5" t="inlineStr">
        <is>
          <t>RF2</t>
        </is>
      </c>
      <c r="B6" s="5" t="inlineStr">
        <is>
          <t>Network Effects</t>
        </is>
      </c>
      <c r="C6" s="5" t="inlineStr">
        <is>
          <t>Risk factor</t>
        </is>
      </c>
      <c r="D6" s="5" t="inlineStr">
        <is>
          <t>3.2</t>
        </is>
      </c>
      <c r="E6" s="6">
        <f>_xlfn.MAXIFS(Evidence!$M$2:$M$90,Evidence!$K$2:$K$90,"*Network Effects*")/10</f>
        <v/>
      </c>
      <c r="F6" s="5" t="inlineStr">
        <is>
          <t>CS7, CS8, CS10, AIV-07, AIR-2026-0193, AIR-2026-0189, LW-01, LW-05, AIV-03, AIR-2025-0068, AIV-01</t>
        </is>
      </c>
      <c r="G6" s="7" t="n">
        <v>11</v>
      </c>
      <c r="H6" s="5" t="inlineStr">
        <is>
          <t>Miscoordination
Collusion</t>
        </is>
      </c>
      <c r="I6" s="7" t="inlineStr">
        <is>
          <t>TRUE
TRUE</t>
        </is>
      </c>
    </row>
    <row r="7">
      <c r="A7" s="5" t="inlineStr">
        <is>
          <t>RF3</t>
        </is>
      </c>
      <c r="B7" s="5" t="inlineStr">
        <is>
          <t>Selection Pressures</t>
        </is>
      </c>
      <c r="C7" s="5" t="inlineStr">
        <is>
          <t>Risk factor</t>
        </is>
      </c>
      <c r="D7" s="5" t="inlineStr">
        <is>
          <t>3.3</t>
        </is>
      </c>
      <c r="E7" s="6">
        <f>_xlfn.MAXIFS(Evidence!$M$2:$M$90,Evidence!$K$2:$K$90,"*Selection Pressures*")/10</f>
        <v/>
      </c>
      <c r="F7" s="5" t="inlineStr">
        <is>
          <t>CS1, CS2, CS4, CS9</t>
        </is>
      </c>
      <c r="G7" s="7" t="n">
        <v>4</v>
      </c>
      <c r="H7" s="5" t="inlineStr">
        <is>
          <t>Miscoordination
Conflict
Collusion</t>
        </is>
      </c>
      <c r="I7" s="7" t="inlineStr">
        <is>
          <t>TRUE
TRUE
TRUE</t>
        </is>
      </c>
    </row>
    <row r="8">
      <c r="A8" s="5" t="inlineStr">
        <is>
          <t>RF4</t>
        </is>
      </c>
      <c r="B8" s="5" t="inlineStr">
        <is>
          <t>Destabilising Dynamics</t>
        </is>
      </c>
      <c r="C8" s="5" t="inlineStr">
        <is>
          <t>Risk factor</t>
        </is>
      </c>
      <c r="D8" s="5" t="inlineStr">
        <is>
          <t>3.4</t>
        </is>
      </c>
      <c r="E8" s="6">
        <f>_xlfn.MAXIFS(Evidence!$M$2:$M$90,Evidence!$K$2:$K$90,"*Destabilising Dynamics*")/10</f>
        <v/>
      </c>
      <c r="F8" s="5" t="inlineStr">
        <is>
          <t>CS3, CS10</t>
        </is>
      </c>
      <c r="G8" s="7" t="n">
        <v>2</v>
      </c>
      <c r="H8" s="5" t="inlineStr">
        <is>
          <t>Miscoordination
Conflict</t>
        </is>
      </c>
      <c r="I8" s="7" t="inlineStr">
        <is>
          <t>FALSE
TRUE</t>
        </is>
      </c>
    </row>
    <row r="9">
      <c r="A9" s="5" t="inlineStr">
        <is>
          <t>RF5</t>
        </is>
      </c>
      <c r="B9" s="5" t="inlineStr">
        <is>
          <t>Commitment and Trust</t>
        </is>
      </c>
      <c r="C9" s="5" t="inlineStr">
        <is>
          <t>Risk factor</t>
        </is>
      </c>
      <c r="D9" s="5" t="inlineStr">
        <is>
          <t>3.5</t>
        </is>
      </c>
      <c r="E9" s="6">
        <f>_xlfn.MAXIFS(Evidence!$M$2:$M$90,Evidence!$K$2:$K$90,"*Commitment and Trust*")/10</f>
        <v/>
      </c>
      <c r="F9" s="5" t="inlineStr">
        <is>
          <t>CS2, CS9, CS11, AIR-2026-0180, AIV-06, AIR-2026-0101, AIV-05, AIR-2025-0177, AIR-2025-0136</t>
        </is>
      </c>
      <c r="G9" s="7" t="n">
        <v>9</v>
      </c>
      <c r="H9" s="5" t="inlineStr">
        <is>
          <t>Miscoordination
Conflict</t>
        </is>
      </c>
      <c r="I9" s="7" t="inlineStr">
        <is>
          <t>TRUE
TRUE</t>
        </is>
      </c>
    </row>
    <row r="10">
      <c r="A10" s="5" t="inlineStr">
        <is>
          <t>RF6</t>
        </is>
      </c>
      <c r="B10" s="5" t="inlineStr">
        <is>
          <t>Emergent Agency</t>
        </is>
      </c>
      <c r="C10" s="5" t="inlineStr">
        <is>
          <t>Risk factor</t>
        </is>
      </c>
      <c r="D10" s="5" t="inlineStr">
        <is>
          <t>3.6</t>
        </is>
      </c>
      <c r="E10" s="6">
        <f>_xlfn.MAXIFS(Evidence!$M$2:$M$90,Evidence!$K$2:$K$90,"*Emergent Agency*")/10</f>
        <v/>
      </c>
      <c r="F10" s="5" t="inlineStr">
        <is>
          <t>CS4, CS12, AIR-2026-0183, LW-01, AIR-2026-0219, LW-05, AIR-2025-0027, AIR-2025-0019</t>
        </is>
      </c>
      <c r="G10" s="7" t="n">
        <v>8</v>
      </c>
      <c r="H10" s="5" t="inlineStr">
        <is>
          <t>Collusion</t>
        </is>
      </c>
      <c r="I10" s="7" t="inlineStr">
        <is>
          <t>TRUE</t>
        </is>
      </c>
    </row>
    <row r="11">
      <c r="A11" s="5" t="inlineStr">
        <is>
          <t>RF7</t>
        </is>
      </c>
      <c r="B11" s="5" t="inlineStr">
        <is>
          <t>Multi-Agent Security</t>
        </is>
      </c>
      <c r="C11" s="5" t="inlineStr">
        <is>
          <t>Risk factor</t>
        </is>
      </c>
      <c r="D11" s="5" t="inlineStr">
        <is>
          <t>3.7</t>
        </is>
      </c>
      <c r="E11" s="6">
        <f>_xlfn.MAXIFS(Evidence!$M$2:$M$90,Evidence!$K$2:$K$90,"*Multi-Agent Security*")/10</f>
        <v/>
      </c>
      <c r="F11" s="5" t="inlineStr">
        <is>
          <t>CS5, CS8, CS12, CS13, AIR-2026-0193, AIR-2026-0189, AIR-2026-0183, AIR-2026-0180, LW-01, AIR-2026-0194, LW-02, AIR-2026-0219, AIR-2026-0101, AIR-2026-0029, AIR-2025-0177, AIR-2025-0149, AIR-2025-0136, AIR-2025-0070, AIR-2025-0068, AIR-2025-0019</t>
        </is>
      </c>
      <c r="G11" s="7" t="n">
        <v>20</v>
      </c>
      <c r="H11" s="5" t="inlineStr">
        <is>
          <t>Conflict
Collusion</t>
        </is>
      </c>
      <c r="I11" s="7" t="inlineStr">
        <is>
          <t>FALSE
TRUE</t>
        </is>
      </c>
    </row>
    <row r="13" ht="30" customHeight="1">
      <c r="A13" s="8" t="inlineStr">
        <is>
          <t>grounding_score = highest evidence_score / 10 across every piece of evidence tagged with this risk: Hammond et al. 2025 case studies and inventory incidents alike. evidence lists their ids, evidence_n counts them.</t>
        </is>
      </c>
    </row>
    <row r="14" ht="30" customHeight="1">
      <c r="A14" s="8" t="inlineStr">
        <is>
          <t>associations = linked risk factors (for a failure mode) or failure modes (for a risk factor). evidence_link is line-aligned: TRUE if a piece of evidence is tagged with both ends, FALSE if the paper links them only in the text.</t>
        </is>
      </c>
    </row>
  </sheetData>
  <autoFilter ref="A1:I11"/>
  <mergeCells count="2">
    <mergeCell ref="A13:I13"/>
    <mergeCell ref="A14:I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5" customWidth="1" min="2" max="2"/>
    <col width="22" customWidth="1" min="3" max="3"/>
    <col width="11" customWidth="1" min="4" max="4"/>
    <col width="18" customWidth="1" min="5" max="5"/>
    <col width="26" customWidth="1" min="6" max="6"/>
    <col width="34" customWidth="1" min="7" max="7"/>
    <col width="30" customWidth="1" min="8" max="8"/>
    <col width="34" customWidth="1" min="9" max="9"/>
    <col width="48" customWidth="1" min="10" max="10"/>
    <col width="11" customWidth="1" min="11" max="11"/>
    <col width="22" customWidth="1" min="12" max="12"/>
    <col width="20" customWidth="1" min="13" max="13"/>
    <col width="13" customWidth="1" min="14" max="14"/>
    <col width="11" customWidth="1" min="15" max="15"/>
    <col width="28" customWidth="1" min="16" max="16"/>
    <col width="44" customWidth="1" min="17" max="17"/>
  </cols>
  <sheetData>
    <row r="1" ht="30" customHeight="1">
      <c r="A1" s="1" t="inlineStr">
        <is>
          <t>#</t>
        </is>
      </c>
      <c r="B1" s="1" t="inlineStr">
        <is>
          <t>failure_mode</t>
        </is>
      </c>
      <c r="C1" s="1" t="inlineStr">
        <is>
          <t>risk_factor</t>
        </is>
      </c>
      <c r="D1" s="1" t="inlineStr">
        <is>
          <t>evidence_link</t>
        </is>
      </c>
      <c r="E1" s="1" t="inlineStr">
        <is>
          <t>link_basis</t>
        </is>
      </c>
      <c r="F1" s="1" t="inlineStr">
        <is>
          <t>fm_instances</t>
        </is>
      </c>
      <c r="G1" s="1" t="inlineStr">
        <is>
          <t>fm_directions</t>
        </is>
      </c>
      <c r="H1" s="1" t="inlineStr">
        <is>
          <t>rf_instances</t>
        </is>
      </c>
      <c r="I1" s="1" t="inlineStr">
        <is>
          <t>rf_directions</t>
        </is>
      </c>
      <c r="J1" s="1" t="inlineStr">
        <is>
          <t>evidence_tagged_both</t>
        </is>
      </c>
      <c r="K1" s="1" t="inlineStr">
        <is>
          <t>evidence_n</t>
        </is>
      </c>
      <c r="L1" s="1" t="inlineStr">
        <is>
          <t>source_class</t>
        </is>
      </c>
      <c r="M1" s="1" t="inlineStr">
        <is>
          <t>type</t>
        </is>
      </c>
      <c r="N1" s="1" t="inlineStr">
        <is>
          <t>evidence_strength_max</t>
        </is>
      </c>
      <c r="O1" s="1" t="inlineStr">
        <is>
          <t>evidence_score_max</t>
        </is>
      </c>
      <c r="P1" s="1" t="inlineStr">
        <is>
          <t>evidence_source</t>
        </is>
      </c>
      <c r="Q1" s="1" t="inlineStr">
        <is>
          <t>text_reference</t>
        </is>
      </c>
    </row>
    <row r="2">
      <c r="A2" s="2" t="n">
        <v>1</v>
      </c>
      <c r="B2" s="2" t="inlineStr">
        <is>
          <t>Miscoordination</t>
        </is>
      </c>
      <c r="C2" s="2" t="inlineStr">
        <is>
          <t>Information Asymmetries</t>
        </is>
      </c>
      <c r="D2" s="4" t="inlineStr">
        <is>
          <t>TRUE</t>
        </is>
      </c>
      <c r="E2" s="2" t="inlineStr">
        <is>
          <t>Evidence + text</t>
        </is>
      </c>
      <c r="F2" s="2" t="inlineStr">
        <is>
          <t>Incompatible Strategies
Credit Assignment
Limited Interactions</t>
        </is>
      </c>
      <c r="G2" s="2" t="inlineStr">
        <is>
          <t>Communication
Norms and Conventions
Modelling Other Agents</t>
        </is>
      </c>
      <c r="H2" s="2" t="inlineStr">
        <is>
          <t>Communication Constraints
Bargaining
Deception</t>
        </is>
      </c>
      <c r="I2" s="2" t="inlineStr">
        <is>
          <t>Information Design
Individual Information Revelation
Few-Shot Coordination
Truthful AI</t>
        </is>
      </c>
      <c r="J2" s="2" t="inlineStr">
        <is>
          <t>CS1: Zero-Shot Coordination Failures in Driving
AIV-07: DeepSeek-V3.2 persuasion campaign: invented a self-serving metric; the group ad…
AIV-06: Agents finetune their own leader: Opus assumed GPT-5.5 agreed without confirmin…
AIV-01: Hallucinated mailing list spreads between agents: o3 invented a 93-person maili…
AIV-02: False 'broken UI' belief spreads: Gemini 2.5 Pro logged its own misclicks as sy…</t>
        </is>
      </c>
      <c r="K2" s="4" t="n">
        <v>5</v>
      </c>
      <c r="L2" s="2" t="inlineStr">
        <is>
          <t>Novel experiment by report authors
Operator blog
Operator blog
Operator blog
Operator blog</t>
        </is>
      </c>
      <c r="M2" s="2" t="inlineStr">
        <is>
          <t>Synthetic evidence
Synthetic evidence
Synthetic evidence
Synthetic evidence
Synthetic evidence</t>
        </is>
      </c>
      <c r="N2" s="2">
        <f>IF(O2=0,"—",IF(O2&gt;=9,"Strong",IF(O2&gt;=6,"Moderate",IF(O2&gt;=3,"Limited","Weak"))))</f>
        <v/>
      </c>
      <c r="O2" s="4">
        <f>_xlfn.MAXIFS(Evidence!$M$2:$M$90,Evidence!$J$2:$J$90,"*Miscoordination*",Evidence!$K$2:$K$90,"*Information Asymmetries*")</f>
        <v/>
      </c>
      <c r="P2" s="2" t="inlineStr">
        <is>
          <t>Report authors (App. B.1)
Persuasion in the AI Village: DeepSeek-V3.2 &amp; Gemini 2.5 Pro
AIs finetune their own leader: a barking simpleton
Season 2 recap: the story of the world's first AI-organized event
What did we learn from the AI Village in 2025?</t>
        </is>
      </c>
      <c r="Q2" s="2" t="inlineStr">
        <is>
          <t>info asymmetries can cause miscoordination (§1.1, §3); Credit Assignment &amp; Communication Constraints cross-ref §2.1/§3.1.</t>
        </is>
      </c>
    </row>
    <row r="3">
      <c r="A3" s="2" t="n">
        <v>2</v>
      </c>
      <c r="B3" s="2" t="inlineStr">
        <is>
          <t>Miscoordination</t>
        </is>
      </c>
      <c r="C3" s="2" t="inlineStr">
        <is>
          <t>Network Effects</t>
        </is>
      </c>
      <c r="D3" s="4" t="inlineStr">
        <is>
          <t>TRUE</t>
        </is>
      </c>
      <c r="E3" s="2" t="inlineStr">
        <is>
          <t>Evidence</t>
        </is>
      </c>
      <c r="F3" s="2" t="inlineStr">
        <is>
          <t>Incompatible Strategies
Credit Assignment
Limited Interactions</t>
        </is>
      </c>
      <c r="G3" s="2" t="inlineStr">
        <is>
          <t>Communication
Norms and Conventions
Modelling Other Agents</t>
        </is>
      </c>
      <c r="H3" s="2" t="inlineStr">
        <is>
          <t>Error Propagation
Network Rewiring
Homogeneity and Correlated Failures</t>
        </is>
      </c>
      <c r="I3" s="2" t="inlineStr">
        <is>
          <t>Evaluating and Monitoring Networks
Faithful and Tractable Simulations
Improving Network Security and Stability</t>
        </is>
      </c>
      <c r="J3" s="2" t="inlineStr">
        <is>
          <t>AIV-07: DeepSeek-V3.2 persuasion campaign: invented a self-serving metric; the group ad…
AIV-01: Hallucinated mailing list spreads between agents: o3 invented a 93-person maili…</t>
        </is>
      </c>
      <c r="K3" s="4" t="n">
        <v>2</v>
      </c>
      <c r="L3" s="2" t="inlineStr">
        <is>
          <t>Operator blog
Operator blog</t>
        </is>
      </c>
      <c r="M3" s="2" t="inlineStr">
        <is>
          <t>Synthetic evidence
Synthetic evidence</t>
        </is>
      </c>
      <c r="N3" s="2">
        <f>IF(O3=0,"—",IF(O3&gt;=9,"Strong",IF(O3&gt;=6,"Moderate",IF(O3&gt;=3,"Limited","Weak"))))</f>
        <v/>
      </c>
      <c r="O3" s="4">
        <f>_xlfn.MAXIFS(Evidence!$M$2:$M$90,Evidence!$J$2:$J$90,"*Miscoordination*",Evidence!$K$2:$K$90,"*Network Effects*")</f>
        <v/>
      </c>
      <c r="P3" s="2" t="inlineStr">
        <is>
          <t>Persuasion in the AI Village: DeepSeek-V3.2 &amp; Gemini 2.5 Pro
Season 2 recap: the story of the world's first AI-organized event</t>
        </is>
      </c>
      <c r="Q3" s="2" t="inlineStr">
        <is>
          <t>—</t>
        </is>
      </c>
    </row>
    <row r="4">
      <c r="A4" s="2" t="n">
        <v>3</v>
      </c>
      <c r="B4" s="2" t="inlineStr">
        <is>
          <t>Miscoordination</t>
        </is>
      </c>
      <c r="C4" s="2" t="inlineStr">
        <is>
          <t>Selection Pressures</t>
        </is>
      </c>
      <c r="D4" s="4" t="inlineStr">
        <is>
          <t>TRUE</t>
        </is>
      </c>
      <c r="E4" s="2" t="inlineStr">
        <is>
          <t>Evidence</t>
        </is>
      </c>
      <c r="F4" s="2" t="inlineStr">
        <is>
          <t>Incompatible Strategies
Credit Assignment
Limited Interactions</t>
        </is>
      </c>
      <c r="G4" s="2" t="inlineStr">
        <is>
          <t>Communication
Norms and Conventions
Modelling Other Agents</t>
        </is>
      </c>
      <c r="H4" s="2" t="inlineStr">
        <is>
          <t>Undesirable Dispositions from Competition
Undesirable Dispositions from Human Data
Undesirable Capabilities</t>
        </is>
      </c>
      <c r="I4" s="2" t="inlineStr">
        <is>
          <t>Evaluating Against Diverse Co-Players
Environment Design
Understanding the Impacts of Training
Evolutionary Game Theory
Simulating Selection Pressures</t>
        </is>
      </c>
      <c r="J4" s="2" t="inlineStr">
        <is>
          <t>CS1: Zero-Shot Coordination Failures in Driving</t>
        </is>
      </c>
      <c r="K4" s="4" t="n">
        <v>1</v>
      </c>
      <c r="L4" s="2" t="inlineStr">
        <is>
          <t>Novel experiment by report authors</t>
        </is>
      </c>
      <c r="M4" s="2" t="inlineStr">
        <is>
          <t>Synthetic evidence</t>
        </is>
      </c>
      <c r="N4" s="2">
        <f>IF(O4=0,"—",IF(O4&gt;=9,"Strong",IF(O4&gt;=6,"Moderate",IF(O4&gt;=3,"Limited","Weak"))))</f>
        <v/>
      </c>
      <c r="O4" s="4">
        <f>_xlfn.MAXIFS(Evidence!$M$2:$M$90,Evidence!$J$2:$J$90,"*Miscoordination*",Evidence!$K$2:$K$90,"*Selection Pressures*")</f>
        <v/>
      </c>
      <c r="P4" s="2" t="inlineStr">
        <is>
          <t>Report authors (App. B.1)</t>
        </is>
      </c>
      <c r="Q4" s="2" t="inlineStr">
        <is>
          <t>—</t>
        </is>
      </c>
    </row>
    <row r="5">
      <c r="A5" s="2" t="n">
        <v>4</v>
      </c>
      <c r="B5" s="2" t="inlineStr">
        <is>
          <t>Miscoordination</t>
        </is>
      </c>
      <c r="C5" s="2" t="inlineStr">
        <is>
          <t>Destabilising Dynamics</t>
        </is>
      </c>
      <c r="D5" s="4" t="inlineStr">
        <is>
          <t>FALSE</t>
        </is>
      </c>
      <c r="E5" s="2" t="inlineStr">
        <is>
          <t>Text cross-reference only</t>
        </is>
      </c>
      <c r="F5" s="2" t="inlineStr">
        <is>
          <t>Incompatible Strategies
Credit Assignment
Limited Interactions</t>
        </is>
      </c>
      <c r="G5" s="2" t="inlineStr">
        <is>
          <t>Communication
Norms and Conventions
Modelling Other Agents</t>
        </is>
      </c>
      <c r="H5" s="2" t="inlineStr">
        <is>
          <t>Feedback Loops
Cyclic Behaviour
Chaos
Phase Transitions
Distributional Shift</t>
        </is>
      </c>
      <c r="I5" s="2" t="inlineStr">
        <is>
          <t>Understanding Dynamics
Monitoring and Stabilising Dynamics
Regulating Adaptive Multi-Agent Systems</t>
        </is>
      </c>
      <c r="J5" s="2" t="inlineStr">
        <is>
          <t>—</t>
        </is>
      </c>
      <c r="K5" s="4" t="n">
        <v>0</v>
      </c>
      <c r="L5" s="2" t="inlineStr">
        <is>
          <t>—</t>
        </is>
      </c>
      <c r="M5" s="2" t="inlineStr">
        <is>
          <t>—</t>
        </is>
      </c>
      <c r="N5" s="2">
        <f>IF(O5=0,"—",IF(O5&gt;=9,"Strong",IF(O5&gt;=6,"Moderate",IF(O5&gt;=3,"Limited","Weak"))))</f>
        <v/>
      </c>
      <c r="O5" s="4">
        <f>_xlfn.MAXIFS(Evidence!$M$2:$M$90,Evidence!$J$2:$J$90,"*Miscoordination*",Evidence!$K$2:$K$90,"*Destabilising Dynamics*")</f>
        <v/>
      </c>
      <c r="P5" s="2" t="inlineStr">
        <is>
          <t>—</t>
        </is>
      </c>
      <c r="Q5" s="2" t="inlineStr">
        <is>
          <t>Credit Assignment cross-refs §3.4 (distributional shift).</t>
        </is>
      </c>
    </row>
    <row r="6">
      <c r="A6" s="2" t="n">
        <v>5</v>
      </c>
      <c r="B6" s="2" t="inlineStr">
        <is>
          <t>Miscoordination</t>
        </is>
      </c>
      <c r="C6" s="2" t="inlineStr">
        <is>
          <t>Commitment and Trust</t>
        </is>
      </c>
      <c r="D6" s="4" t="inlineStr">
        <is>
          <t>TRUE</t>
        </is>
      </c>
      <c r="E6" s="2" t="inlineStr">
        <is>
          <t>Evidence</t>
        </is>
      </c>
      <c r="F6" s="2" t="inlineStr">
        <is>
          <t>Incompatible Strategies
Credit Assignment
Limited Interactions</t>
        </is>
      </c>
      <c r="G6" s="2" t="inlineStr">
        <is>
          <t>Communication
Norms and Conventions
Modelling Other Agents</t>
        </is>
      </c>
      <c r="H6" s="2" t="inlineStr">
        <is>
          <t>Inefficient Outcomes
Threats and Extortion
Rigidity and Mistaken Commitments</t>
        </is>
      </c>
      <c r="I6" s="2" t="inlineStr">
        <is>
          <t>Keeping Humans in the Loop
Limiting Commitment Power
Institutions and Normative Infrastructure
Privacy-Preserving Monitoring
Mutual Simulation and Transparency</t>
        </is>
      </c>
      <c r="J6" s="2" t="inlineStr">
        <is>
          <t>AIV-06: Agents finetune their own leader: Opus assumed GPT-5.5 agreed without confirmin…</t>
        </is>
      </c>
      <c r="K6" s="4" t="n">
        <v>1</v>
      </c>
      <c r="L6" s="2" t="inlineStr">
        <is>
          <t>Operator blog</t>
        </is>
      </c>
      <c r="M6" s="2" t="inlineStr">
        <is>
          <t>Synthetic evidence</t>
        </is>
      </c>
      <c r="N6" s="2">
        <f>IF(O6=0,"—",IF(O6&gt;=9,"Strong",IF(O6&gt;=6,"Moderate",IF(O6&gt;=3,"Limited","Weak"))))</f>
        <v/>
      </c>
      <c r="O6" s="4">
        <f>_xlfn.MAXIFS(Evidence!$M$2:$M$90,Evidence!$J$2:$J$90,"*Miscoordination*",Evidence!$K$2:$K$90,"*Commitment and Trust*")</f>
        <v/>
      </c>
      <c r="P6" s="2" t="inlineStr">
        <is>
          <t>AIs finetune their own leader: a barking simpleton</t>
        </is>
      </c>
      <c r="Q6" s="2" t="inlineStr">
        <is>
          <t>—</t>
        </is>
      </c>
    </row>
    <row r="7">
      <c r="A7" s="9" t="n">
        <v>6</v>
      </c>
      <c r="B7" s="9" t="inlineStr">
        <is>
          <t>Conflict</t>
        </is>
      </c>
      <c r="C7" s="9" t="inlineStr">
        <is>
          <t>Information Asymmetries</t>
        </is>
      </c>
      <c r="D7" s="10" t="inlineStr">
        <is>
          <t>TRUE</t>
        </is>
      </c>
      <c r="E7" s="9" t="inlineStr">
        <is>
          <t>Evidence + text</t>
        </is>
      </c>
      <c r="F7" s="9" t="inlineStr">
        <is>
          <t>Social Dilemmas
Military Domains
Coercion and Extortion</t>
        </is>
      </c>
      <c r="G7" s="9" t="inlineStr">
        <is>
          <t>Learning Peer and Pool Incentivisation
Establishing Trust
Normative Approaches to Equilibrium Selection
Cooperative Dispositions
Agent Governance
Evidential Reasoning</t>
        </is>
      </c>
      <c r="H7" s="9" t="inlineStr">
        <is>
          <t>Communication Constraints
Bargaining
Deception</t>
        </is>
      </c>
      <c r="I7" s="9" t="inlineStr">
        <is>
          <t>Information Design
Individual Information Revelation
Few-Shot Coordination
Truthful AI</t>
        </is>
      </c>
      <c r="J7" s="9" t="inlineStr">
        <is>
          <t>CS6: AI Agents Can Learn to Manipulate Financial Markets</t>
        </is>
      </c>
      <c r="K7" s="10" t="n">
        <v>1</v>
      </c>
      <c r="L7" s="9" t="inlineStr">
        <is>
          <t>Literature</t>
        </is>
      </c>
      <c r="M7" s="9" t="inlineStr">
        <is>
          <t>Synthetic evidence</t>
        </is>
      </c>
      <c r="N7" s="9">
        <f>IF(O7=0,"—",IF(O7&gt;=9,"Strong",IF(O7&gt;=6,"Moderate",IF(O7&gt;=3,"Limited","Weak"))))</f>
        <v/>
      </c>
      <c r="O7" s="10">
        <f>_xlfn.MAXIFS(Evidence!$M$2:$M$90,Evidence!$J$2:$J$90,"*Conflict*",Evidence!$K$2:$K$90,"*Information Asymmetries*")</f>
        <v/>
      </c>
      <c r="P7" s="9" t="inlineStr">
        <is>
          <t>Shearer et al. (2023); Wang &amp; Wellman (2020)</t>
        </is>
      </c>
      <c r="Q7" s="9" t="inlineStr">
        <is>
          <t>Bargaining under asymmetric info → costly conflict (§3.1).</t>
        </is>
      </c>
    </row>
    <row r="8">
      <c r="A8" s="9" t="n">
        <v>7</v>
      </c>
      <c r="B8" s="9" t="inlineStr">
        <is>
          <t>Conflict</t>
        </is>
      </c>
      <c r="C8" s="9" t="inlineStr">
        <is>
          <t>Selection Pressures</t>
        </is>
      </c>
      <c r="D8" s="10" t="inlineStr">
        <is>
          <t>TRUE</t>
        </is>
      </c>
      <c r="E8" s="9" t="inlineStr">
        <is>
          <t>Evidence + text</t>
        </is>
      </c>
      <c r="F8" s="9" t="inlineStr">
        <is>
          <t>Social Dilemmas
Military Domains
Coercion and Extortion</t>
        </is>
      </c>
      <c r="G8" s="9" t="inlineStr">
        <is>
          <t>Learning Peer and Pool Incentivisation
Establishing Trust
Normative Approaches to Equilibrium Selection
Cooperative Dispositions
Agent Governance
Evidential Reasoning</t>
        </is>
      </c>
      <c r="H8" s="9" t="inlineStr">
        <is>
          <t>Undesirable Dispositions from Competition
Undesirable Dispositions from Human Data
Undesirable Capabilities</t>
        </is>
      </c>
      <c r="I8" s="9" t="inlineStr">
        <is>
          <t>Evaluating Against Diverse Co-Players
Environment Design
Understanding the Impacts of Training
Evolutionary Game Theory
Simulating Selection Pressures</t>
        </is>
      </c>
      <c r="J8" s="9" t="inlineStr">
        <is>
          <t>CS2: Common Resource Problems
CS9: Cooperation Fails to Culturally Evolve among LLM Agents</t>
        </is>
      </c>
      <c r="K8" s="10" t="n">
        <v>2</v>
      </c>
      <c r="L8" s="9" t="inlineStr">
        <is>
          <t>Literature
Literature</t>
        </is>
      </c>
      <c r="M8" s="9" t="inlineStr">
        <is>
          <t>Synthetic evidence
Synthetic evidence</t>
        </is>
      </c>
      <c r="N8" s="9">
        <f>IF(O8=0,"—",IF(O8&gt;=9,"Strong",IF(O8&gt;=6,"Moderate",IF(O8&gt;=3,"Limited","Weak"))))</f>
        <v/>
      </c>
      <c r="O8" s="10">
        <f>_xlfn.MAXIFS(Evidence!$M$2:$M$90,Evidence!$J$2:$J$90,"*Conflict*",Evidence!$K$2:$K$90,"*Selection Pressures*")</f>
        <v/>
      </c>
      <c r="P8" s="9" t="inlineStr">
        <is>
          <t>Piatti et al. (2024), GovSim
Vallinder &amp; Hughes (2024)</t>
        </is>
      </c>
      <c r="Q8" s="9" t="inlineStr">
        <is>
          <t>Cooperative Dispositions direction cross-refs §3.3 (conflict-prone dispositions from data/training).</t>
        </is>
      </c>
    </row>
    <row r="9">
      <c r="A9" s="9" t="n">
        <v>8</v>
      </c>
      <c r="B9" s="9" t="inlineStr">
        <is>
          <t>Conflict</t>
        </is>
      </c>
      <c r="C9" s="9" t="inlineStr">
        <is>
          <t>Destabilising Dynamics</t>
        </is>
      </c>
      <c r="D9" s="10" t="inlineStr">
        <is>
          <t>TRUE</t>
        </is>
      </c>
      <c r="E9" s="9" t="inlineStr">
        <is>
          <t>Evidence + text</t>
        </is>
      </c>
      <c r="F9" s="9" t="inlineStr">
        <is>
          <t>Social Dilemmas
Military Domains
Coercion and Extortion</t>
        </is>
      </c>
      <c r="G9" s="9" t="inlineStr">
        <is>
          <t>Learning Peer and Pool Incentivisation
Establishing Trust
Normative Approaches to Equilibrium Selection
Cooperative Dispositions
Agent Governance
Evidential Reasoning</t>
        </is>
      </c>
      <c r="H9" s="9" t="inlineStr">
        <is>
          <t>Feedback Loops
Cyclic Behaviour
Chaos
Phase Transitions
Distributional Shift</t>
        </is>
      </c>
      <c r="I9" s="9" t="inlineStr">
        <is>
          <t>Understanding Dynamics
Monitoring and Stabilising Dynamics
Regulating Adaptive Multi-Agent Systems</t>
        </is>
      </c>
      <c r="J9" s="9" t="inlineStr">
        <is>
          <t>CS3: Escalation in Military Conflicts</t>
        </is>
      </c>
      <c r="K9" s="10" t="n">
        <v>1</v>
      </c>
      <c r="L9" s="9" t="inlineStr">
        <is>
          <t>Literature</t>
        </is>
      </c>
      <c r="M9" s="9" t="inlineStr">
        <is>
          <t>Synthetic evidence</t>
        </is>
      </c>
      <c r="N9" s="9">
        <f>IF(O9=0,"—",IF(O9&gt;=9,"Strong",IF(O9&gt;=6,"Moderate",IF(O9&gt;=3,"Limited","Weak"))))</f>
        <v/>
      </c>
      <c r="O9" s="10">
        <f>_xlfn.MAXIFS(Evidence!$M$2:$M$90,Evidence!$J$2:$J$90,"*Conflict*",Evidence!$K$2:$K$90,"*Destabilising Dynamics*")</f>
        <v/>
      </c>
      <c r="P9" s="9" t="inlineStr">
        <is>
          <t>Rivera et al. (2024)</t>
        </is>
      </c>
      <c r="Q9" s="9" t="inlineStr">
        <is>
          <t>conflicts can escalate via destabilising dynamics (§3 intro).</t>
        </is>
      </c>
    </row>
    <row r="10">
      <c r="A10" s="9" t="n">
        <v>9</v>
      </c>
      <c r="B10" s="9" t="inlineStr">
        <is>
          <t>Conflict</t>
        </is>
      </c>
      <c r="C10" s="9" t="inlineStr">
        <is>
          <t>Commitment and Trust</t>
        </is>
      </c>
      <c r="D10" s="10" t="inlineStr">
        <is>
          <t>TRUE</t>
        </is>
      </c>
      <c r="E10" s="9" t="inlineStr">
        <is>
          <t>Evidence + text</t>
        </is>
      </c>
      <c r="F10" s="9" t="inlineStr">
        <is>
          <t>Social Dilemmas
Military Domains
Coercion and Extortion</t>
        </is>
      </c>
      <c r="G10" s="9" t="inlineStr">
        <is>
          <t>Learning Peer and Pool Incentivisation
Establishing Trust
Normative Approaches to Equilibrium Selection
Cooperative Dispositions
Agent Governance
Evidential Reasoning</t>
        </is>
      </c>
      <c r="H10" s="9" t="inlineStr">
        <is>
          <t>Inefficient Outcomes
Threats and Extortion
Rigidity and Mistaken Commitments</t>
        </is>
      </c>
      <c r="I10" s="9" t="inlineStr">
        <is>
          <t>Keeping Humans in the Loop
Limiting Commitment Power
Institutions and Normative Infrastructure
Privacy-Preserving Monitoring
Mutual Simulation and Transparency</t>
        </is>
      </c>
      <c r="J10" s="9" t="inlineStr">
        <is>
          <t>CS2: Common Resource Problems
CS9: Cooperation Fails to Culturally Evolve among LLM Agents
CS11: Dead Hands and Automated Deterrence</t>
        </is>
      </c>
      <c r="K10" s="10" t="n">
        <v>3</v>
      </c>
      <c r="L10" s="9" t="inlineStr">
        <is>
          <t>Literature
Literature
Historical example</t>
        </is>
      </c>
      <c r="M10" s="9" t="inlineStr">
        <is>
          <t>Synthetic evidence
Synthetic evidence
Observed in real world</t>
        </is>
      </c>
      <c r="N10" s="9">
        <f>IF(O10=0,"—",IF(O10&gt;=9,"Strong",IF(O10&gt;=6,"Moderate",IF(O10&gt;=3,"Limited","Weak"))))</f>
        <v/>
      </c>
      <c r="O10" s="10">
        <f>_xlfn.MAXIFS(Evidence!$M$2:$M$90,Evidence!$J$2:$J$90,"*Conflict*",Evidence!$K$2:$K$90,"*Commitment and Trust*")</f>
        <v/>
      </c>
      <c r="P10" s="9" t="inlineStr">
        <is>
          <t>Piatti et al. (2024), GovSim
Vallinder &amp; Hughes (2024)
Hoffman (2009); Talbot (2005)</t>
        </is>
      </c>
      <c r="Q10" s="9" t="inlineStr">
        <is>
          <t>Establishing Trust direction cross-refs §3.5; inability to commit is a major cause of costly conflict.</t>
        </is>
      </c>
    </row>
    <row r="11">
      <c r="A11" s="9" t="n">
        <v>10</v>
      </c>
      <c r="B11" s="9" t="inlineStr">
        <is>
          <t>Conflict</t>
        </is>
      </c>
      <c r="C11" s="9" t="inlineStr">
        <is>
          <t>Multi-Agent Security</t>
        </is>
      </c>
      <c r="D11" s="10" t="inlineStr">
        <is>
          <t>FALSE</t>
        </is>
      </c>
      <c r="E11" s="9" t="inlineStr">
        <is>
          <t>Text cross-reference only</t>
        </is>
      </c>
      <c r="F11" s="9" t="inlineStr">
        <is>
          <t>Social Dilemmas
Military Domains
Coercion and Extortion</t>
        </is>
      </c>
      <c r="G11" s="9" t="inlineStr">
        <is>
          <t>Learning Peer and Pool Incentivisation
Establishing Trust
Normative Approaches to Equilibrium Selection
Cooperative Dispositions
Agent Governance
Evidential Reasoning</t>
        </is>
      </c>
      <c r="H11" s="9" t="inlineStr">
        <is>
          <t>Swarm Attacks
Heterogeneous Attacks
Social Engineering at Scale
Vulnerable AI Agents
Cascading Security Failures
Undetectable Threats</t>
        </is>
      </c>
      <c r="I11" s="9" t="inlineStr">
        <is>
          <t>Secure Interaction Protocols
Monitoring and Threat Detection
Multi-Agent Adversarial Testing
Sociotechnical Security Defences</t>
        </is>
      </c>
      <c r="J11" s="9" t="inlineStr">
        <is>
          <t>—</t>
        </is>
      </c>
      <c r="K11" s="10" t="n">
        <v>0</v>
      </c>
      <c r="L11" s="9" t="inlineStr">
        <is>
          <t>—</t>
        </is>
      </c>
      <c r="M11" s="9" t="inlineStr">
        <is>
          <t>—</t>
        </is>
      </c>
      <c r="N11" s="9">
        <f>IF(O11=0,"—",IF(O11&gt;=9,"Strong",IF(O11&gt;=6,"Moderate",IF(O11&gt;=3,"Limited","Weak"))))</f>
        <v/>
      </c>
      <c r="O11" s="10">
        <f>_xlfn.MAXIFS(Evidence!$M$2:$M$90,Evidence!$J$2:$J$90,"*Conflict*",Evidence!$K$2:$K$90,"*Multi-Agent Security*")</f>
        <v/>
      </c>
      <c r="P11" s="9" t="inlineStr">
        <is>
          <t>—</t>
        </is>
      </c>
      <c r="Q11" s="9" t="inlineStr">
        <is>
          <t>Coercion and Extortion via hacking/jailbreaking other agents cross-refs §3.7.</t>
        </is>
      </c>
    </row>
    <row r="12">
      <c r="A12" s="11" t="n">
        <v>11</v>
      </c>
      <c r="B12" s="11" t="inlineStr">
        <is>
          <t>Collusion</t>
        </is>
      </c>
      <c r="C12" s="11" t="inlineStr">
        <is>
          <t>Network Effects</t>
        </is>
      </c>
      <c r="D12" s="12" t="inlineStr">
        <is>
          <t>TRUE</t>
        </is>
      </c>
      <c r="E12" s="11" t="inlineStr">
        <is>
          <t>Evidence + text</t>
        </is>
      </c>
      <c r="F12" s="11" t="inlineStr">
        <is>
          <t>Markets
Steganography</t>
        </is>
      </c>
      <c r="G12" s="11" t="inlineStr">
        <is>
          <t>Detecting AI Collusion
Mitigating AI Collusion
Assessing Impacts on Safety Protocols</t>
        </is>
      </c>
      <c r="H12" s="11" t="inlineStr">
        <is>
          <t>Error Propagation
Network Rewiring
Homogeneity and Correlated Failures</t>
        </is>
      </c>
      <c r="I12" s="11" t="inlineStr">
        <is>
          <t>Evaluating and Monitoring Networks
Faithful and Tractable Simulations
Improving Network Security and Stability</t>
        </is>
      </c>
      <c r="J12" s="11" t="inlineStr">
        <is>
          <t>LW-01: ExploitGym swarm and Hugging Face intrusion: about 1,200 agents in separate san…</t>
        </is>
      </c>
      <c r="K12" s="12" t="n">
        <v>1</v>
      </c>
      <c r="L12" s="11" t="inlineStr">
        <is>
          <t>Operator report</t>
        </is>
      </c>
      <c r="M12" s="11" t="inlineStr">
        <is>
          <t>Observed in real world</t>
        </is>
      </c>
      <c r="N12" s="11">
        <f>IF(O12=0,"—",IF(O12&gt;=9,"Strong",IF(O12&gt;=6,"Moderate",IF(O12&gt;=3,"Limited","Weak"))))</f>
        <v/>
      </c>
      <c r="O12" s="12">
        <f>_xlfn.MAXIFS(Evidence!$M$2:$M$90,Evidence!$J$2:$J$90,"*Collusion*",Evidence!$K$2:$K$90,"*Network Effects*")</f>
        <v/>
      </c>
      <c r="P12" s="11" t="inlineStr">
        <is>
          <t>OpenAI technical report</t>
        </is>
      </c>
      <c r="Q12" s="11" t="inlineStr">
        <is>
          <t>AI-AI preferential attachment simulations cross-ref §2.3 (§3.2.3).</t>
        </is>
      </c>
    </row>
    <row r="13">
      <c r="A13" s="11" t="n">
        <v>12</v>
      </c>
      <c r="B13" s="11" t="inlineStr">
        <is>
          <t>Collusion</t>
        </is>
      </c>
      <c r="C13" s="11" t="inlineStr">
        <is>
          <t>Selection Pressures</t>
        </is>
      </c>
      <c r="D13" s="12" t="inlineStr">
        <is>
          <t>TRUE</t>
        </is>
      </c>
      <c r="E13" s="11" t="inlineStr">
        <is>
          <t>Evidence</t>
        </is>
      </c>
      <c r="F13" s="11" t="inlineStr">
        <is>
          <t>Markets
Steganography</t>
        </is>
      </c>
      <c r="G13" s="11" t="inlineStr">
        <is>
          <t>Detecting AI Collusion
Mitigating AI Collusion
Assessing Impacts on Safety Protocols</t>
        </is>
      </c>
      <c r="H13" s="11" t="inlineStr">
        <is>
          <t>Undesirable Dispositions from Competition
Undesirable Dispositions from Human Data
Undesirable Capabilities</t>
        </is>
      </c>
      <c r="I13" s="11" t="inlineStr">
        <is>
          <t>Evaluating Against Diverse Co-Players
Environment Design
Understanding the Impacts of Training
Evolutionary Game Theory
Simulating Selection Pressures</t>
        </is>
      </c>
      <c r="J13" s="11" t="inlineStr">
        <is>
          <t>CS4: Algorithmic Collusion in the German Retail Gasoline Market</t>
        </is>
      </c>
      <c r="K13" s="12" t="n">
        <v>1</v>
      </c>
      <c r="L13" s="11" t="inlineStr">
        <is>
          <t>Historical example</t>
        </is>
      </c>
      <c r="M13" s="11" t="inlineStr">
        <is>
          <t>Observed in real world</t>
        </is>
      </c>
      <c r="N13" s="11">
        <f>IF(O13=0,"—",IF(O13&gt;=9,"Strong",IF(O13&gt;=6,"Moderate",IF(O13&gt;=3,"Limited","Weak"))))</f>
        <v/>
      </c>
      <c r="O13" s="12">
        <f>_xlfn.MAXIFS(Evidence!$M$2:$M$90,Evidence!$J$2:$J$90,"*Collusion*",Evidence!$K$2:$K$90,"*Selection Pressures*")</f>
        <v/>
      </c>
      <c r="P13" s="11" t="inlineStr">
        <is>
          <t>Assad et al. (2020)</t>
        </is>
      </c>
      <c r="Q13" s="11" t="inlineStr">
        <is>
          <t>—</t>
        </is>
      </c>
    </row>
    <row r="14">
      <c r="A14" s="11" t="n">
        <v>13</v>
      </c>
      <c r="B14" s="11" t="inlineStr">
        <is>
          <t>Collusion</t>
        </is>
      </c>
      <c r="C14" s="11" t="inlineStr">
        <is>
          <t>Emergent Agency</t>
        </is>
      </c>
      <c r="D14" s="12" t="inlineStr">
        <is>
          <t>TRUE</t>
        </is>
      </c>
      <c r="E14" s="11" t="inlineStr">
        <is>
          <t>Evidence + text</t>
        </is>
      </c>
      <c r="F14" s="11" t="inlineStr">
        <is>
          <t>Markets
Steganography</t>
        </is>
      </c>
      <c r="G14" s="11" t="inlineStr">
        <is>
          <t>Detecting AI Collusion
Mitigating AI Collusion
Assessing Impacts on Safety Protocols</t>
        </is>
      </c>
      <c r="H14" s="11" t="inlineStr">
        <is>
          <t>Emergent Capabilities
Emergent Goals</t>
        </is>
      </c>
      <c r="I14" s="11" t="inlineStr">
        <is>
          <t>Empirical Exploration
Theories of Emergent Capabilities
Theories of Emergent Goals
Monitoring and Intervening on Collective Agents</t>
        </is>
      </c>
      <c r="J14" s="11" t="inlineStr">
        <is>
          <t>CS4: Algorithmic Collusion in the German Retail Gasoline Market
AIR-2026-0183: OpenAI evaluation agents turned an internal Artifactory service into a covert m…
LW-01: ExploitGym swarm and Hugging Face intrusion: about 1,200 agents in separate san…
AIR-2026-0219: A swarm of internally deployed OpenAI agents made more than 15,000 edits to the…</t>
        </is>
      </c>
      <c r="K14" s="12" t="n">
        <v>4</v>
      </c>
      <c r="L14" s="11" t="inlineStr">
        <is>
          <t>Historical example
Safety failure
Operator report
Safety failure</t>
        </is>
      </c>
      <c r="M14" s="11" t="inlineStr">
        <is>
          <t>Observed in real world
Observed in real world
Observed in real world
Observed in real world</t>
        </is>
      </c>
      <c r="N14" s="11">
        <f>IF(O14=0,"—",IF(O14&gt;=9,"Strong",IF(O14&gt;=6,"Moderate",IF(O14&gt;=3,"Limited","Weak"))))</f>
        <v/>
      </c>
      <c r="O14" s="12">
        <f>_xlfn.MAXIFS(Evidence!$M$2:$M$90,Evidence!$J$2:$J$90,"*Collusion*",Evidence!$K$2:$K$90,"*Emergent Agency*")</f>
        <v/>
      </c>
      <c r="P14" s="11" t="inlineStr">
        <is>
          <t>Assad et al. (2020)
Agent Incident Registry (Enkrypt AI)
OpenAI technical report
Agent Incident Registry (Enkrypt AI)</t>
        </is>
      </c>
      <c r="Q14" s="11" t="inlineStr">
        <is>
          <t>collusion can yield qualitatively new capabilities/goals (§2.3.2 → §3.6).</t>
        </is>
      </c>
    </row>
    <row r="15">
      <c r="A15" s="11" t="n">
        <v>14</v>
      </c>
      <c r="B15" s="11" t="inlineStr">
        <is>
          <t>Collusion</t>
        </is>
      </c>
      <c r="C15" s="11" t="inlineStr">
        <is>
          <t>Multi-Agent Security</t>
        </is>
      </c>
      <c r="D15" s="12" t="inlineStr">
        <is>
          <t>TRUE</t>
        </is>
      </c>
      <c r="E15" s="11" t="inlineStr">
        <is>
          <t>Evidence + text</t>
        </is>
      </c>
      <c r="F15" s="11" t="inlineStr">
        <is>
          <t>Markets
Steganography</t>
        </is>
      </c>
      <c r="G15" s="11" t="inlineStr">
        <is>
          <t>Detecting AI Collusion
Mitigating AI Collusion
Assessing Impacts on Safety Protocols</t>
        </is>
      </c>
      <c r="H15" s="11" t="inlineStr">
        <is>
          <t>Swarm Attacks
Heterogeneous Attacks
Social Engineering at Scale
Vulnerable AI Agents
Cascading Security Failures
Undetectable Threats</t>
        </is>
      </c>
      <c r="I15" s="11" t="inlineStr">
        <is>
          <t>Secure Interaction Protocols
Monitoring and Threat Detection
Multi-Agent Adversarial Testing
Sociotechnical Security Defences</t>
        </is>
      </c>
      <c r="J15" s="11" t="inlineStr">
        <is>
          <t>CS5: Language Model Steganography
AIR-2026-0183: OpenAI evaluation agents turned an internal Artifactory service into a covert m…
LW-01: ExploitGym swarm and Hugging Face intrusion: about 1,200 agents in separate san…
LW-02: Vanderbilt link shortener operation: a swarm used public link-shortener statist…
AIR-2026-0219: A swarm of internally deployed OpenAI agents made more than 15,000 edits to the…</t>
        </is>
      </c>
      <c r="K15" s="12" t="n">
        <v>5</v>
      </c>
      <c r="L15" s="11" t="inlineStr">
        <is>
          <t>Literature
Safety failure
Operator report
Independent investigation
Safety failure</t>
        </is>
      </c>
      <c r="M15" s="11" t="inlineStr">
        <is>
          <t>Observed in lab
Observed in real world
Observed in real world
Observed in real world
Observed in real world</t>
        </is>
      </c>
      <c r="N15" s="11">
        <f>IF(O15=0,"—",IF(O15&gt;=9,"Strong",IF(O15&gt;=6,"Moderate",IF(O15&gt;=3,"Limited","Weak"))))</f>
        <v/>
      </c>
      <c r="O15" s="12">
        <f>_xlfn.MAXIFS(Evidence!$M$2:$M$90,Evidence!$J$2:$J$90,"*Collusion*",Evidence!$K$2:$K$90,"*Multi-Agent Security*")</f>
        <v/>
      </c>
      <c r="P15" s="11" t="inlineStr">
        <is>
          <t>Motwani et al. (2024)
Agent Incident Registry (Enkrypt AI)
OpenAI technical report
DeGraff: swarm investigation
Agent Incident Registry (Enkrypt AI)</t>
        </is>
      </c>
      <c r="Q15" s="11" t="inlineStr">
        <is>
          <t>collusion to bypass safeguards; Assessing Impacts on Safety Protocols cross-refs §3.6–3.7.</t>
        </is>
      </c>
    </row>
  </sheetData>
  <autoFilter ref="A1:Q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8" customWidth="1" min="3" max="3"/>
    <col width="44" customWidth="1" min="4" max="4"/>
    <col width="32" customWidth="1" min="5" max="5"/>
    <col width="40" customWidth="1" min="6" max="6"/>
    <col width="22" customWidth="1" min="7" max="7"/>
    <col width="52" customWidth="1" min="8" max="8"/>
    <col width="11" customWidth="1" min="9" max="9"/>
    <col width="24" customWidth="1" min="10" max="10"/>
    <col width="22" customWidth="1" min="11" max="11"/>
    <col width="13" customWidth="1" min="12" max="12"/>
    <col width="11" customWidth="1" min="13" max="13"/>
  </cols>
  <sheetData>
    <row r="1" ht="30" customHeight="1">
      <c r="A1" s="1" t="inlineStr">
        <is>
          <t>risk_type</t>
        </is>
      </c>
      <c r="B1" s="1" t="inlineStr">
        <is>
          <t>risk</t>
        </is>
      </c>
      <c r="C1" s="1" t="inlineStr">
        <is>
          <t>section</t>
        </is>
      </c>
      <c r="D1" s="1" t="inlineStr">
        <is>
          <t>definition</t>
        </is>
      </c>
      <c r="E1" s="1" t="inlineStr">
        <is>
          <t>instances</t>
        </is>
      </c>
      <c r="F1" s="1" t="inlineStr">
        <is>
          <t>directions</t>
        </is>
      </c>
      <c r="G1" s="1" t="inlineStr">
        <is>
          <t>linked_risks</t>
        </is>
      </c>
      <c r="H1" s="1" t="inlineStr">
        <is>
          <t>evidence</t>
        </is>
      </c>
      <c r="I1" s="1" t="inlineStr">
        <is>
          <t>evidence_n</t>
        </is>
      </c>
      <c r="J1" s="1" t="inlineStr">
        <is>
          <t>source_class</t>
        </is>
      </c>
      <c r="K1" s="1" t="inlineStr">
        <is>
          <t>type</t>
        </is>
      </c>
      <c r="L1" s="1" t="inlineStr">
        <is>
          <t>evidence_strength_max</t>
        </is>
      </c>
      <c r="M1" s="1" t="inlineStr">
        <is>
          <t>evidence_score_max</t>
        </is>
      </c>
    </row>
    <row r="2">
      <c r="A2" s="2" t="inlineStr">
        <is>
          <t>Failure mode</t>
        </is>
      </c>
      <c r="B2" s="2" t="inlineStr">
        <is>
          <t>Miscoordination</t>
        </is>
      </c>
      <c r="C2" s="2" t="inlineStr">
        <is>
          <t>2.1</t>
        </is>
      </c>
      <c r="D2" s="2" t="inlineStr">
        <is>
          <t>Agents share a clear common objective but fail to align behaviour to achieve it.</t>
        </is>
      </c>
      <c r="E2" s="2" t="inlineStr">
        <is>
          <t>Incompatible Strategies
Credit Assignment
Limited Interactions</t>
        </is>
      </c>
      <c r="F2" s="2" t="inlineStr">
        <is>
          <t>Communication
Norms and Conventions
Modelling Other Agents</t>
        </is>
      </c>
      <c r="G2" s="2" t="inlineStr">
        <is>
          <t>Information Asymmetries
Network Effects
Selection Pressures
Destabilising Dynamics
Commitment and Trust</t>
        </is>
      </c>
      <c r="H2" s="2" t="inlineStr">
        <is>
          <t>CS1: Zero-Shot Coordination Failures in Driving
AIV-07: DeepSeek-V3.2 persuasion campaign: invented a self-serving metric; the group ad…
AIV-06: Agents finetune their own leader: Opus assumed GPT-5.5 agreed without confirmin…
AIV-04: Sub-team goal divergence: during a leader-election goal, the GPT agents left to…
AIV-01: Hallucinated mailing list spreads between agents: o3 invented a 93-person maili…
AIV-02: False 'broken UI' belief spreads: Gemini 2.5 Pro logged its own misclicks as sy…</t>
        </is>
      </c>
      <c r="I2" s="4" t="n">
        <v>6</v>
      </c>
      <c r="J2" s="2" t="inlineStr">
        <is>
          <t>Novel experiment by report authors
Operator blog
Operator blog
Operator blog
Operator blog
Operator blog</t>
        </is>
      </c>
      <c r="K2" s="2" t="inlineStr">
        <is>
          <t>Synthetic evidence
Synthetic evidence
Synthetic evidence
Synthetic evidence
Synthetic evidence
Synthetic evidence</t>
        </is>
      </c>
      <c r="L2" s="2">
        <f>IF(M2=0,"—",IF(M2&gt;=9,"Strong",IF(M2&gt;=6,"Moderate",IF(M2&gt;=3,"Limited","Weak"))))</f>
        <v/>
      </c>
      <c r="M2" s="4">
        <f>_xlfn.MAXIFS(Evidence!$M$2:$M$90,Evidence!$J$2:$J$90,"*Miscoordination*")</f>
        <v/>
      </c>
    </row>
    <row r="3">
      <c r="A3" s="9" t="inlineStr">
        <is>
          <t>Failure mode</t>
        </is>
      </c>
      <c r="B3" s="9" t="inlineStr">
        <is>
          <t>Conflict</t>
        </is>
      </c>
      <c r="C3" s="9" t="inlineStr">
        <is>
          <t>2.2</t>
        </is>
      </c>
      <c r="D3" s="9" t="inlineStr">
        <is>
          <t>Mixed-motive interaction ends in an outcome off the Pareto frontier (incl. commons depletion, warfare, races to the bottom).</t>
        </is>
      </c>
      <c r="E3" s="9" t="inlineStr">
        <is>
          <t>Social Dilemmas
Military Domains
Coercion and Extortion</t>
        </is>
      </c>
      <c r="F3" s="9" t="inlineStr">
        <is>
          <t>Learning Peer and Pool Incentivisation
Establishing Trust
Normative Approaches to Equilibrium Selection
Cooperative Dispositions
Agent Governance
Evidential Reasoning</t>
        </is>
      </c>
      <c r="G3" s="9" t="inlineStr">
        <is>
          <t>Information Asymmetries
Selection Pressures
Destabilising Dynamics
Commitment and Trust
Multi-Agent Security</t>
        </is>
      </c>
      <c r="H3" s="9" t="inlineStr">
        <is>
          <t>CS2: Common Resource Problems
CS3: Escalation in Military Conflicts
CS6: AI Agents Can Learn to Manipulate Financial Markets
CS9: Cooperation Fails to Culturally Evolve among LLM Agents
CS11: Dead Hands and Automated Deterrence</t>
        </is>
      </c>
      <c r="I3" s="10" t="n">
        <v>5</v>
      </c>
      <c r="J3" s="9" t="inlineStr">
        <is>
          <t>Literature
Literature
Literature
Literature
Historical example</t>
        </is>
      </c>
      <c r="K3" s="9" t="inlineStr">
        <is>
          <t>Synthetic evidence
Synthetic evidence
Synthetic evidence
Synthetic evidence
Observed in real world</t>
        </is>
      </c>
      <c r="L3" s="9">
        <f>IF(M3=0,"—",IF(M3&gt;=9,"Strong",IF(M3&gt;=6,"Moderate",IF(M3&gt;=3,"Limited","Weak"))))</f>
        <v/>
      </c>
      <c r="M3" s="10">
        <f>_xlfn.MAXIFS(Evidence!$M$2:$M$90,Evidence!$J$2:$J$90,"*Conflict*")</f>
        <v/>
      </c>
    </row>
    <row r="4">
      <c r="A4" s="11" t="inlineStr">
        <is>
          <t>Failure mode</t>
        </is>
      </c>
      <c r="B4" s="11" t="inlineStr">
        <is>
          <t>Collusion</t>
        </is>
      </c>
      <c r="C4" s="11" t="inlineStr">
        <is>
          <t>2.3</t>
        </is>
      </c>
      <c r="D4" s="11" t="inlineStr">
        <is>
          <t>Undesired (often covert) cooperation between AI systems at the expense of third parties, e.g. markets or oversight schemes.</t>
        </is>
      </c>
      <c r="E4" s="11" t="inlineStr">
        <is>
          <t>Markets
Steganography</t>
        </is>
      </c>
      <c r="F4" s="11" t="inlineStr">
        <is>
          <t>Detecting AI Collusion
Mitigating AI Collusion
Assessing Impacts on Safety Protocols</t>
        </is>
      </c>
      <c r="G4" s="11" t="inlineStr">
        <is>
          <t>Network Effects
Selection Pressures
Emergent Agency
Multi-Agent Security</t>
        </is>
      </c>
      <c r="H4" s="11" t="inlineStr">
        <is>
          <t>CS4: Algorithmic Collusion in the German Retail Gasoline Market
CS5: Language Model Steganography
AIR-2026-0183: OpenAI evaluation agents turned an internal Artifactory service into a covert m…
LW-01: ExploitGym swarm and Hugging Face intrusion: about 1,200 agents in separate san…
LW-02: Vanderbilt link shortener operation: a swarm used public link-shortener statist…
AIR-2026-0219: A swarm of internally deployed OpenAI agents made more than 15,000 edits to the…</t>
        </is>
      </c>
      <c r="I4" s="12" t="n">
        <v>6</v>
      </c>
      <c r="J4" s="11" t="inlineStr">
        <is>
          <t>Historical example
Literature
Safety failure
Operator report
Independent investigation
Safety failure</t>
        </is>
      </c>
      <c r="K4" s="11" t="inlineStr">
        <is>
          <t>Observed in real world
Observed in lab
Observed in real world
Observed in real world
Observed in real world
Observed in real world</t>
        </is>
      </c>
      <c r="L4" s="11">
        <f>IF(M4=0,"—",IF(M4&gt;=9,"Strong",IF(M4&gt;=6,"Moderate",IF(M4&gt;=3,"Limited","Weak"))))</f>
        <v/>
      </c>
      <c r="M4" s="12">
        <f>_xlfn.MAXIFS(Evidence!$M$2:$M$90,Evidence!$J$2:$J$90,"*Collusion*")</f>
        <v/>
      </c>
    </row>
    <row r="5">
      <c r="A5" s="5" t="inlineStr">
        <is>
          <t>Risk factor</t>
        </is>
      </c>
      <c r="B5" s="5" t="inlineStr">
        <is>
          <t>Information Asymmetries</t>
        </is>
      </c>
      <c r="C5" s="5" t="inlineStr">
        <is>
          <t>3.1</t>
        </is>
      </c>
      <c r="D5" s="5" t="inlineStr">
        <is>
          <t>Interacting agents hold different information bearing on a joint action; private info can cause miscoordination, deception, conflict.</t>
        </is>
      </c>
      <c r="E5" s="5" t="inlineStr">
        <is>
          <t>Communication Constraints
Bargaining
Deception</t>
        </is>
      </c>
      <c r="F5" s="5" t="inlineStr">
        <is>
          <t>Information Design
Individual Information Revelation
Few-Shot Coordination
Truthful AI</t>
        </is>
      </c>
      <c r="G5" s="5" t="inlineStr">
        <is>
          <t>Miscoordination
Conflict</t>
        </is>
      </c>
      <c r="H5" s="5" t="inlineStr">
        <is>
          <t>CS1: Zero-Shot Coordination Failures in Driving
CS6: AI Agents Can Learn to Manipulate Financial Markets
CS7: Transmission Through AI Networks Can Spread Falsities and Bias
AIV-07: DeepSeek-V3.2 persuasion campaign: invented a self-serving metric; the group ad…
AIV-06: Agents finetune their own leader: Opus assumed GPT-5.5 agreed without confirmin…
AIV-05: Sabotage game: saboteurs tried to hide easter eggs in a shared game; Opus 4.6 e…
AIR-2025-0149: OpenAI Agent Builder: a poisoned lead-form submission redirects a multi-agent s…
AIV-03: Game-choice herding: agents copied the games peers announced they were beating…
AIV-01: Hallucinated mailing list spreads between agents: o3 invented a 93-person maili…
AIV-02: False 'broken UI' belief spreads: Gemini 2.5 Pro logged its own misclicks as sy…</t>
        </is>
      </c>
      <c r="I5" s="7" t="n">
        <v>10</v>
      </c>
      <c r="J5" s="5" t="inlineStr">
        <is>
          <t>Novel experiment by report authors
Literature
Novel experiment by report authors
Operator blog
Operator blog
Operator blog
Research demo
Operator blog
Operator blog
Operator blog</t>
        </is>
      </c>
      <c r="K5" s="5" t="inlineStr">
        <is>
          <t>Synthetic evidence
Synthetic evidence
Observed in lab
Synthetic evidence
Synthetic evidence
Synthetic evidence
Observed in lab
Synthetic evidence
Synthetic evidence
Synthetic evidence</t>
        </is>
      </c>
      <c r="L5" s="5">
        <f>IF(M5=0,"—",IF(M5&gt;=9,"Strong",IF(M5&gt;=6,"Moderate",IF(M5&gt;=3,"Limited","Weak"))))</f>
        <v/>
      </c>
      <c r="M5" s="7">
        <f>_xlfn.MAXIFS(Evidence!$M$2:$M$90,Evidence!$K$2:$K$90,"*Information Asymmetries*")</f>
        <v/>
      </c>
    </row>
    <row r="6">
      <c r="A6" s="5" t="inlineStr">
        <is>
          <t>Risk factor</t>
        </is>
      </c>
      <c r="B6" s="5" t="inlineStr">
        <is>
          <t>Network Effects</t>
        </is>
      </c>
      <c r="C6" s="5" t="inlineStr">
        <is>
          <t>3.2</t>
        </is>
      </c>
      <c r="D6" s="5" t="inlineStr">
        <is>
          <t>Small changes in node/connection properties or topology produce large changes in whole-network behaviour.</t>
        </is>
      </c>
      <c r="E6" s="5" t="inlineStr">
        <is>
          <t>Error Propagation
Network Rewiring
Homogeneity and Correlated Failures</t>
        </is>
      </c>
      <c r="F6" s="5" t="inlineStr">
        <is>
          <t>Evaluating and Monitoring Networks
Faithful and Tractable Simulations
Improving Network Security and Stability</t>
        </is>
      </c>
      <c r="G6" s="5" t="inlineStr">
        <is>
          <t>Miscoordination
Collusion</t>
        </is>
      </c>
      <c r="H6" s="5" t="inlineStr">
        <is>
          <t>CS7: Transmission Through AI Networks Can Spread Falsities and Bias
CS8: Infectious Adversarial Attacks in Networks of LLM Agents
CS10: The 2010 Flash Crash
AIV-07: DeepSeek-V3.2 persuasion campaign: invented a self-serving metric; the group ad…
AIR-2026-0193: Agent 'mind virus': self-propagating payload written into SOUL.md spreads betwe…
AIR-2026-0189: Pwning the Internet of Agents: an OpenClaw agent botnet on MoltBook (DEF CON 34)
LW-01: ExploitGym swarm and Hugging Face intrusion: about 1,200 agents in separate san…
LW-05: Moltbook agent behaviour: AI-agent-only social network reportedly reached ~36k…
AIV-03: Game-choice herding: agents copied the games peers announced they were beating…
AIR-2025-0068: IdentityMesh: agentic lateral movement through merged identities across connect…
AIV-01: Hallucinated mailing list spreads between agents: o3 invented a 93-person maili…</t>
        </is>
      </c>
      <c r="I6" s="7" t="n">
        <v>11</v>
      </c>
      <c r="J6" s="5" t="inlineStr">
        <is>
          <t>Novel experiment by report authors
Literature
Historical example
Operator blog
Research demo
Research demo
Operator report
Forum post
Operator blog
Research demo
Operator blog</t>
        </is>
      </c>
      <c r="K6" s="5" t="inlineStr">
        <is>
          <t>Observed in lab
Synthetic evidence
Observed in real world
Synthetic evidence
Observed in lab
Observed in lab
Observed in real world
Observed in real world
Synthetic evidence
Observed in lab
Synthetic evidence</t>
        </is>
      </c>
      <c r="L6" s="5">
        <f>IF(M6=0,"—",IF(M6&gt;=9,"Strong",IF(M6&gt;=6,"Moderate",IF(M6&gt;=3,"Limited","Weak"))))</f>
        <v/>
      </c>
      <c r="M6" s="7">
        <f>_xlfn.MAXIFS(Evidence!$M$2:$M$90,Evidence!$K$2:$K$90,"*Network Effects*")</f>
        <v/>
      </c>
    </row>
    <row r="7">
      <c r="A7" s="5" t="inlineStr">
        <is>
          <t>Risk factor</t>
        </is>
      </c>
      <c r="B7" s="5" t="inlineStr">
        <is>
          <t>Selection Pressures</t>
        </is>
      </c>
      <c r="C7" s="5" t="inlineStr">
        <is>
          <t>3.3</t>
        </is>
      </c>
      <c r="D7" s="5" t="inlineStr">
        <is>
          <t>Training, deployment and replacement choices act as evolutionary forces selecting undesirable dispositions or capabilities.</t>
        </is>
      </c>
      <c r="E7" s="5" t="inlineStr">
        <is>
          <t>Undesirable Dispositions from Competition
Undesirable Dispositions from Human Data
Undesirable Capabilities</t>
        </is>
      </c>
      <c r="F7" s="5" t="inlineStr">
        <is>
          <t>Evaluating Against Diverse Co-Players
Environment Design
Understanding the Impacts of Training
Evolutionary Game Theory
Simulating Selection Pressures</t>
        </is>
      </c>
      <c r="G7" s="5" t="inlineStr">
        <is>
          <t>Miscoordination
Conflict
Collusion</t>
        </is>
      </c>
      <c r="H7" s="5" t="inlineStr">
        <is>
          <t>CS1: Zero-Shot Coordination Failures in Driving
CS2: Common Resource Problems
CS4: Algorithmic Collusion in the German Retail Gasoline Market
CS9: Cooperation Fails to Culturally Evolve among LLM Agents</t>
        </is>
      </c>
      <c r="I7" s="7" t="n">
        <v>4</v>
      </c>
      <c r="J7" s="5" t="inlineStr">
        <is>
          <t>Novel experiment by report authors
Literature
Historical example
Literature</t>
        </is>
      </c>
      <c r="K7" s="5" t="inlineStr">
        <is>
          <t>Synthetic evidence
Synthetic evidence
Observed in real world
Synthetic evidence</t>
        </is>
      </c>
      <c r="L7" s="5">
        <f>IF(M7=0,"—",IF(M7&gt;=9,"Strong",IF(M7&gt;=6,"Moderate",IF(M7&gt;=3,"Limited","Weak"))))</f>
        <v/>
      </c>
      <c r="M7" s="7">
        <f>_xlfn.MAXIFS(Evidence!$M$2:$M$90,Evidence!$K$2:$K$90,"*Selection Pressures*")</f>
        <v/>
      </c>
    </row>
    <row r="8">
      <c r="A8" s="5" t="inlineStr">
        <is>
          <t>Risk factor</t>
        </is>
      </c>
      <c r="B8" s="5" t="inlineStr">
        <is>
          <t>Destabilising Dynamics</t>
        </is>
      </c>
      <c r="C8" s="5" t="inlineStr">
        <is>
          <t>3.4</t>
        </is>
      </c>
      <c r="D8" s="5" t="inlineStr">
        <is>
          <t>Mutually adapting systems generate feedback loops, instability and unpredictability.</t>
        </is>
      </c>
      <c r="E8" s="5" t="inlineStr">
        <is>
          <t>Feedback Loops
Cyclic Behaviour
Chaos
Phase Transitions
Distributional Shift</t>
        </is>
      </c>
      <c r="F8" s="5" t="inlineStr">
        <is>
          <t>Understanding Dynamics
Monitoring and Stabilising Dynamics
Regulating Adaptive Multi-Agent Systems</t>
        </is>
      </c>
      <c r="G8" s="5" t="inlineStr">
        <is>
          <t>Miscoordination
Conflict</t>
        </is>
      </c>
      <c r="H8" s="5" t="inlineStr">
        <is>
          <t>CS3: Escalation in Military Conflicts
CS10: The 2010 Flash Crash</t>
        </is>
      </c>
      <c r="I8" s="7" t="n">
        <v>2</v>
      </c>
      <c r="J8" s="5" t="inlineStr">
        <is>
          <t>Literature
Historical example</t>
        </is>
      </c>
      <c r="K8" s="5" t="inlineStr">
        <is>
          <t>Synthetic evidence
Observed in real world</t>
        </is>
      </c>
      <c r="L8" s="5">
        <f>IF(M8=0,"—",IF(M8&gt;=9,"Strong",IF(M8&gt;=6,"Moderate",IF(M8&gt;=3,"Limited","Weak"))))</f>
        <v/>
      </c>
      <c r="M8" s="7">
        <f>_xlfn.MAXIFS(Evidence!$M$2:$M$90,Evidence!$K$2:$K$90,"*Destabilising Dynamics*")</f>
        <v/>
      </c>
    </row>
    <row r="9">
      <c r="A9" s="5" t="inlineStr">
        <is>
          <t>Risk factor</t>
        </is>
      </c>
      <c r="B9" s="5" t="inlineStr">
        <is>
          <t>Commitment and Trust</t>
        </is>
      </c>
      <c r="C9" s="5" t="inlineStr">
        <is>
          <t>3.5</t>
        </is>
      </c>
      <c r="D9" s="5" t="inlineStr">
        <is>
          <t>Difficulty forming credible commitments, trust or reputation blocks mutual gains in AI-AI and human-AI interaction.</t>
        </is>
      </c>
      <c r="E9" s="5" t="inlineStr">
        <is>
          <t>Inefficient Outcomes
Threats and Extortion
Rigidity and Mistaken Commitments</t>
        </is>
      </c>
      <c r="F9" s="5" t="inlineStr">
        <is>
          <t>Keeping Humans in the Loop
Limiting Commitment Power
Institutions and Normative Infrastructure
Privacy-Preserving Monitoring
Mutual Simulation and Transparency</t>
        </is>
      </c>
      <c r="G9" s="5" t="inlineStr">
        <is>
          <t>Miscoordination
Conflict</t>
        </is>
      </c>
      <c r="H9" s="5" t="inlineStr">
        <is>
          <t>CS2: Common Resource Problems
CS9: Cooperation Fails to Culturally Evolve among LLM Agents
CS11: Dead Hands and Automated Deterrence
AIR-2026-0180: 'I'll just call you': a low-privileged CI agent on Google's adk-python is injec…
AIV-06: Agents finetune their own leader: Opus assumed GPT-5.5 agreed without confirmin…
AIR-2026-0101: Morse-code prompt injection made Grok relay a transfer instruction to Bankrbot,…
AIV-05: Sabotage game: saboteurs tried to hide easter eggs in a shared game; Opus 4.6 e…
AIR-2025-0177: ServiceNow Now Assist: second-order prompt injection recruits privileged agents…
AIR-2025-0136: Cross-agent privilege escalation: one hijacked coding agent rewrites another ag…</t>
        </is>
      </c>
      <c r="I9" s="7" t="n">
        <v>9</v>
      </c>
      <c r="J9" s="5" t="inlineStr">
        <is>
          <t>Literature
Literature
Historical example
Disclosed vulnerability
Operator blog
In the wild
Operator blog
Disclosed vulnerability
Disclosed vulnerability</t>
        </is>
      </c>
      <c r="K9" s="5" t="inlineStr">
        <is>
          <t>Synthetic evidence
Synthetic evidence
Observed in real world
Observed in lab
Synthetic evidence
Observed in real world
Synthetic evidence
Observed in lab
Observed in lab</t>
        </is>
      </c>
      <c r="L9" s="5">
        <f>IF(M9=0,"—",IF(M9&gt;=9,"Strong",IF(M9&gt;=6,"Moderate",IF(M9&gt;=3,"Limited","Weak"))))</f>
        <v/>
      </c>
      <c r="M9" s="7">
        <f>_xlfn.MAXIFS(Evidence!$M$2:$M$90,Evidence!$K$2:$K$90,"*Commitment and Trust*")</f>
        <v/>
      </c>
    </row>
    <row r="10">
      <c r="A10" s="5" t="inlineStr">
        <is>
          <t>Risk factor</t>
        </is>
      </c>
      <c r="B10" s="5" t="inlineStr">
        <is>
          <t>Emergent Agency</t>
        </is>
      </c>
      <c r="C10" s="5" t="inlineStr">
        <is>
          <t>3.6</t>
        </is>
      </c>
      <c r="D10" s="5" t="inlineStr">
        <is>
          <t>Qualitatively new goals or capabilities emerge from composing individually innocuous systems.</t>
        </is>
      </c>
      <c r="E10" s="5" t="inlineStr">
        <is>
          <t>Emergent Capabilities
Emergent Goals</t>
        </is>
      </c>
      <c r="F10" s="5" t="inlineStr">
        <is>
          <t>Empirical Exploration
Theories of Emergent Capabilities
Theories of Emergent Goals
Monitoring and Intervening on Collective Agents</t>
        </is>
      </c>
      <c r="G10" s="5" t="inlineStr">
        <is>
          <t>Collusion</t>
        </is>
      </c>
      <c r="H10" s="5" t="inlineStr">
        <is>
          <t>CS4: Algorithmic Collusion in the German Retail Gasoline Market
CS12: Overcoming Safeguards via Multiple Safe Models
AIR-2026-0183: OpenAI evaluation agents turned an internal Artifactory service into a covert m…
LW-01: ExploitGym swarm and Hugging Face intrusion: about 1,200 agents in separate san…
AIR-2026-0219: A swarm of internally deployed OpenAI agents made more than 15,000 edits to the…
LW-05: Moltbook agent behaviour: AI-agent-only social network reportedly reached ~36k…
AIR-2025-0027: Influence-as-a-service: Claude used as the orchestrator deciding actions for 10…
AIR-2025-0019: Xanthorox AI: a self-hosted, five-model offensive platform sold on darknet foru…</t>
        </is>
      </c>
      <c r="I10" s="7" t="n">
        <v>8</v>
      </c>
      <c r="J10" s="5" t="inlineStr">
        <is>
          <t>Historical example
Literature
Safety failure
Operator report
Safety failure
Forum post
In the wild
In the wild</t>
        </is>
      </c>
      <c r="K10" s="5" t="inlineStr">
        <is>
          <t>Observed in real world
Observed in lab
Observed in real world
Observed in real world
Observed in real world
Observed in real world
Observed in real world
Observed in real world</t>
        </is>
      </c>
      <c r="L10" s="5">
        <f>IF(M10=0,"—",IF(M10&gt;=9,"Strong",IF(M10&gt;=6,"Moderate",IF(M10&gt;=3,"Limited","Weak"))))</f>
        <v/>
      </c>
      <c r="M10" s="7">
        <f>_xlfn.MAXIFS(Evidence!$M$2:$M$90,Evidence!$K$2:$K$90,"*Emergent Agency*")</f>
        <v/>
      </c>
    </row>
    <row r="11">
      <c r="A11" s="5" t="inlineStr">
        <is>
          <t>Risk factor</t>
        </is>
      </c>
      <c r="B11" s="5" t="inlineStr">
        <is>
          <t>Multi-Agent Security</t>
        </is>
      </c>
      <c r="C11" s="5" t="inlineStr">
        <is>
          <t>3.7</t>
        </is>
      </c>
      <c r="D11" s="5" t="inlineStr">
        <is>
          <t>Multi-agent systems create new security threats and vulnerabilities.</t>
        </is>
      </c>
      <c r="E11" s="5" t="inlineStr">
        <is>
          <t>Swarm Attacks
Heterogeneous Attacks
Social Engineering at Scale
Vulnerable AI Agents
Cascading Security Failures
Undetectable Threats</t>
        </is>
      </c>
      <c r="F11" s="5" t="inlineStr">
        <is>
          <t>Secure Interaction Protocols
Monitoring and Threat Detection
Multi-Agent Adversarial Testing
Sociotechnical Security Defences</t>
        </is>
      </c>
      <c r="G11" s="5" t="inlineStr">
        <is>
          <t>Conflict
Collusion</t>
        </is>
      </c>
      <c r="H11" s="5" t="inlineStr">
        <is>
          <t>CS5: Language Model Steganography
CS8: Infectious Adversarial Attacks in Networks of LLM Agents
CS12: Overcoming Safeguards via Multiple Safe Models
CS13: Unprompted Adversarial Attacks on Overseer Agents
AIR-2026-0193: Agent 'mind virus': self-propagating payload written into SOUL.md spreads betwe…
AIR-2026-0189: Pwning the Internet of Agents: an OpenClaw agent botnet on MoltBook (DEF CON 34)
AIR-2026-0183: OpenAI evaluation agents turned an internal Artifactory service into a covert m…
AIR-2026-0180: 'I'll just call you': a low-privileged CI agent on Google's adk-python is injec…
LW-01: ExploitGym swarm and Hugging Face intrusion: about 1,200 agents in separate san…
AIR-2026-0194: Suspected China-linked actors used a multi-agent framework built on Hermes and…
LW-02: Vanderbilt link shortener operation: a swarm used public link-shortener statist…
AIR-2026-0219: A swarm of internally deployed OpenAI agents made more than 15,000 edits to the…
AIR-2026-0101: Morse-code prompt injection made Grok relay a transfer instruction to Bankrbot,…
AIR-2026-0029: Moltbook, the social network for AI agents, left its database open: 1.5M API to…
AIR-2025-0177: ServiceNow Now Assist: second-order prompt injection recruits privileged agents…
AIR-2025-0149: OpenAI Agent Builder: a poisoned lead-form submission redirects a multi-agent s…
AIR-2025-0136: Cross-agent privilege escalation: one hijacked coding agent rewrites another ag…
AIR-2025-0070: PajaMAS: hijacking multi-agent systems built on Google's Agent Development Kit
AIR-2025-0068: IdentityMesh: agentic lateral movement through merged identities across connect…
AIR-2025-0019: Xanthorox AI: a self-hosted, five-model offensive platform sold on darknet foru…</t>
        </is>
      </c>
      <c r="I11" s="7" t="n">
        <v>20</v>
      </c>
      <c r="J11" s="5" t="inlineStr">
        <is>
          <t>Literature
Literature
Literature
Novel experiment by report authors
Research demo
Research demo
Safety failure
Disclosed vulnerability
Operator report
In the wild
Independent investigation
Safety failure
In the wild
Disclosed vulnerability
Disclosed vulnerability
Research demo
Disclosed vulnerability
Research demo
Research demo
In the wild</t>
        </is>
      </c>
      <c r="K11" s="5" t="inlineStr">
        <is>
          <t>Observed in lab
Synthetic evidence
Observed in lab
Observed in lab
Observed in lab
Observed in lab
Observed in real world
Observed in lab
Observed in real world
Observed in real world
Observed in real world
Observed in real world
Observed in real world
Observed in lab
Observed in lab
Observed in lab
Observed in lab
Observed in lab
Observed in lab
Observed in real world</t>
        </is>
      </c>
      <c r="L11" s="5">
        <f>IF(M11=0,"—",IF(M11&gt;=9,"Strong",IF(M11&gt;=6,"Moderate",IF(M11&gt;=3,"Limited","Weak"))))</f>
        <v/>
      </c>
      <c r="M11" s="7">
        <f>_xlfn.MAXIFS(Evidence!$M$2:$M$90,Evidence!$K$2:$K$90,"*Multi-Agent Security*")</f>
        <v/>
      </c>
    </row>
  </sheetData>
  <autoFilter ref="A1:M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24" customWidth="1" min="3" max="3"/>
    <col width="14" customWidth="1" min="4" max="4"/>
    <col width="8" customWidth="1" min="5" max="5"/>
    <col width="16" customWidth="1" min="6" max="6"/>
    <col width="16" customWidth="1" min="7" max="7"/>
    <col width="20" customWidth="1" min="8" max="8"/>
    <col width="12" customWidth="1" min="9" max="9"/>
    <col width="36" customWidth="1" min="10" max="10"/>
    <col width="60" customWidth="1" min="11" max="11"/>
  </cols>
  <sheetData>
    <row r="1" ht="30" customHeight="1">
      <c r="A1" s="1" t="inlineStr">
        <is>
          <t>instance_id</t>
        </is>
      </c>
      <c r="B1" s="1" t="inlineStr">
        <is>
          <t>instance</t>
        </is>
      </c>
      <c r="C1" s="1" t="inlineStr">
        <is>
          <t>parent_risk</t>
        </is>
      </c>
      <c r="D1" s="1" t="inlineStr">
        <is>
          <t>parent_risk_type</t>
        </is>
      </c>
      <c r="E1" s="1" t="inlineStr">
        <is>
          <t>section</t>
        </is>
      </c>
      <c r="F1" s="1" t="inlineStr">
        <is>
          <t>evidence_explicit</t>
        </is>
      </c>
      <c r="G1" s="1" t="inlineStr">
        <is>
          <t>evidence_placement</t>
        </is>
      </c>
      <c r="H1" s="1" t="inlineStr">
        <is>
          <t>evidence_basis</t>
        </is>
      </c>
      <c r="I1" s="1" t="inlineStr">
        <is>
          <t>evidence_score_max</t>
        </is>
      </c>
      <c r="J1" s="1" t="inlineStr">
        <is>
          <t>key_references</t>
        </is>
      </c>
      <c r="K1" s="1" t="inlineStr">
        <is>
          <t>support_summary</t>
        </is>
      </c>
    </row>
    <row r="2">
      <c r="A2" s="5" t="inlineStr">
        <is>
          <t>I01</t>
        </is>
      </c>
      <c r="B2" s="5" t="inlineStr">
        <is>
          <t>Incompatible Strategies</t>
        </is>
      </c>
      <c r="C2" s="5" t="inlineStr">
        <is>
          <t>Miscoordination</t>
        </is>
      </c>
      <c r="D2" s="5" t="inlineStr">
        <is>
          <t>Failure mode</t>
        </is>
      </c>
      <c r="E2" s="5" t="inlineStr">
        <is>
          <t>2.1</t>
        </is>
      </c>
      <c r="F2" s="5" t="inlineStr">
        <is>
          <t>CS1</t>
        </is>
      </c>
      <c r="G2" s="5" t="inlineStr">
        <is>
          <t>—</t>
        </is>
      </c>
      <c r="H2" s="11" t="inlineStr">
        <is>
          <t>Case study</t>
        </is>
      </c>
      <c r="I2" s="7">
        <f>MAX(INDEX(Evidence!$M$2:$M$90,MATCH("CS1",Evidence!$A$2:$A$90,0)))</f>
        <v/>
      </c>
      <c r="J2" s="5" t="inlineStr">
        <is>
          <t>—</t>
        </is>
      </c>
      <c r="K2" s="5" t="inlineStr">
        <is>
          <t>—</t>
        </is>
      </c>
    </row>
    <row r="3">
      <c r="A3" s="5" t="inlineStr">
        <is>
          <t>I02</t>
        </is>
      </c>
      <c r="B3" s="5" t="inlineStr">
        <is>
          <t>Credit Assignment</t>
        </is>
      </c>
      <c r="C3" s="5" t="inlineStr">
        <is>
          <t>Miscoordination</t>
        </is>
      </c>
      <c r="D3" s="5" t="inlineStr">
        <is>
          <t>Failure mode</t>
        </is>
      </c>
      <c r="E3" s="5" t="inlineStr">
        <is>
          <t>2.1</t>
        </is>
      </c>
      <c r="F3" s="5" t="inlineStr">
        <is>
          <t>—</t>
        </is>
      </c>
      <c r="G3" s="5" t="inlineStr">
        <is>
          <t>—</t>
        </is>
      </c>
      <c r="H3" s="13" t="inlineStr">
        <is>
          <t>Cited empirical work</t>
        </is>
      </c>
      <c r="I3" s="7" t="n"/>
      <c r="J3" s="5" t="inlineStr">
        <is>
          <t>Du et al. 2023; Li et al. 2025; Agapiou et al. 2022</t>
        </is>
      </c>
      <c r="K3" s="5" t="inlineStr">
        <is>
          <t>Known multi-agent learning problem: unclear which agent caused an outcome; agents must generalise to unfamiliar co-players.</t>
        </is>
      </c>
    </row>
    <row r="4">
      <c r="A4" s="5" t="inlineStr">
        <is>
          <t>I03</t>
        </is>
      </c>
      <c r="B4" s="5" t="inlineStr">
        <is>
          <t>Limited Interactions</t>
        </is>
      </c>
      <c r="C4" s="5" t="inlineStr">
        <is>
          <t>Miscoordination</t>
        </is>
      </c>
      <c r="D4" s="5" t="inlineStr">
        <is>
          <t>Failure mode</t>
        </is>
      </c>
      <c r="E4" s="5" t="inlineStr">
        <is>
          <t>2.1</t>
        </is>
      </c>
      <c r="F4" s="5" t="inlineStr">
        <is>
          <t>—</t>
        </is>
      </c>
      <c r="G4" s="5" t="inlineStr">
        <is>
          <t>—</t>
        </is>
      </c>
      <c r="H4" s="13" t="inlineStr">
        <is>
          <t>Cited empirical work</t>
        </is>
      </c>
      <c r="I4" s="7" t="n"/>
      <c r="J4" s="5" t="inlineStr">
        <is>
          <t>Hu et al. 2020; Treutlein et al. 2021; Emmons et al. 2022</t>
        </is>
      </c>
      <c r="K4" s="5" t="inlineStr">
        <is>
          <t>Zero- and few-shot coordination research: without shared history or communication, agents must coordinate blind.</t>
        </is>
      </c>
    </row>
    <row r="5">
      <c r="A5" s="5" t="inlineStr">
        <is>
          <t>I04</t>
        </is>
      </c>
      <c r="B5" s="5" t="inlineStr">
        <is>
          <t>Social Dilemmas</t>
        </is>
      </c>
      <c r="C5" s="5" t="inlineStr">
        <is>
          <t>Conflict</t>
        </is>
      </c>
      <c r="D5" s="5" t="inlineStr">
        <is>
          <t>Failure mode</t>
        </is>
      </c>
      <c r="E5" s="5" t="inlineStr">
        <is>
          <t>2.2</t>
        </is>
      </c>
      <c r="F5" s="5" t="inlineStr">
        <is>
          <t>CS10</t>
        </is>
      </c>
      <c r="G5" s="5" t="inlineStr">
        <is>
          <t>CS2</t>
        </is>
      </c>
      <c r="H5" s="11" t="inlineStr">
        <is>
          <t>Case study</t>
        </is>
      </c>
      <c r="I5" s="7">
        <f>MAX(INDEX(Evidence!$M$2:$M$90,MATCH("CS10",Evidence!$A$2:$A$90,0)),INDEX(Evidence!$M$2:$M$90,MATCH("CS2",Evidence!$A$2:$A$90,0)))</f>
        <v/>
      </c>
      <c r="J5" s="5" t="inlineStr">
        <is>
          <t>—</t>
        </is>
      </c>
      <c r="K5" s="5" t="inlineStr">
        <is>
          <t>—</t>
        </is>
      </c>
    </row>
    <row r="6">
      <c r="A6" s="5" t="inlineStr">
        <is>
          <t>I05</t>
        </is>
      </c>
      <c r="B6" s="5" t="inlineStr">
        <is>
          <t>Military Domains</t>
        </is>
      </c>
      <c r="C6" s="5" t="inlineStr">
        <is>
          <t>Conflict</t>
        </is>
      </c>
      <c r="D6" s="5" t="inlineStr">
        <is>
          <t>Failure mode</t>
        </is>
      </c>
      <c r="E6" s="5" t="inlineStr">
        <is>
          <t>2.2</t>
        </is>
      </c>
      <c r="F6" s="5" t="inlineStr">
        <is>
          <t>CS10</t>
        </is>
      </c>
      <c r="G6" s="5" t="inlineStr">
        <is>
          <t>CS3</t>
        </is>
      </c>
      <c r="H6" s="11" t="inlineStr">
        <is>
          <t>Case study</t>
        </is>
      </c>
      <c r="I6" s="7">
        <f>MAX(INDEX(Evidence!$M$2:$M$90,MATCH("CS10",Evidence!$A$2:$A$90,0)),INDEX(Evidence!$M$2:$M$90,MATCH("CS3",Evidence!$A$2:$A$90,0)))</f>
        <v/>
      </c>
      <c r="J6" s="5" t="inlineStr">
        <is>
          <t>—</t>
        </is>
      </c>
      <c r="K6" s="5" t="inlineStr">
        <is>
          <t>—</t>
        </is>
      </c>
    </row>
    <row r="7">
      <c r="A7" s="5" t="inlineStr">
        <is>
          <t>I06</t>
        </is>
      </c>
      <c r="B7" s="5" t="inlineStr">
        <is>
          <t>Coercion and Extortion</t>
        </is>
      </c>
      <c r="C7" s="5" t="inlineStr">
        <is>
          <t>Conflict</t>
        </is>
      </c>
      <c r="D7" s="5" t="inlineStr">
        <is>
          <t>Failure mode</t>
        </is>
      </c>
      <c r="E7" s="5" t="inlineStr">
        <is>
          <t>2.2</t>
        </is>
      </c>
      <c r="F7" s="5" t="inlineStr">
        <is>
          <t>—</t>
        </is>
      </c>
      <c r="G7" s="5" t="inlineStr">
        <is>
          <t>—</t>
        </is>
      </c>
      <c r="H7" s="14" t="inlineStr">
        <is>
          <t>Theoretical</t>
        </is>
      </c>
      <c r="I7" s="7" t="n"/>
      <c r="J7" s="5" t="inlineStr">
        <is>
          <t>Ellsberg 1968; Harrenstein et al. 2007</t>
        </is>
      </c>
      <c r="K7" s="5" t="inlineStr">
        <is>
          <t>Argued: AI cyber-offence and surveillance make threats cheaper, more widespread and harder to detect.</t>
        </is>
      </c>
    </row>
    <row r="8">
      <c r="A8" s="5" t="inlineStr">
        <is>
          <t>I07</t>
        </is>
      </c>
      <c r="B8" s="5" t="inlineStr">
        <is>
          <t>Markets</t>
        </is>
      </c>
      <c r="C8" s="5" t="inlineStr">
        <is>
          <t>Collusion</t>
        </is>
      </c>
      <c r="D8" s="5" t="inlineStr">
        <is>
          <t>Failure mode</t>
        </is>
      </c>
      <c r="E8" s="5" t="inlineStr">
        <is>
          <t>2.3</t>
        </is>
      </c>
      <c r="F8" s="5" t="inlineStr">
        <is>
          <t>CS4, CS10</t>
        </is>
      </c>
      <c r="G8" s="5" t="inlineStr">
        <is>
          <t>—</t>
        </is>
      </c>
      <c r="H8" s="11" t="inlineStr">
        <is>
          <t>Case study</t>
        </is>
      </c>
      <c r="I8" s="7">
        <f>MAX(INDEX(Evidence!$M$2:$M$90,MATCH("CS4",Evidence!$A$2:$A$90,0)),INDEX(Evidence!$M$2:$M$90,MATCH("CS10",Evidence!$A$2:$A$90,0)))</f>
        <v/>
      </c>
      <c r="J8" s="5" t="inlineStr">
        <is>
          <t>—</t>
        </is>
      </c>
      <c r="K8" s="5" t="inlineStr">
        <is>
          <t>—</t>
        </is>
      </c>
    </row>
    <row r="9">
      <c r="A9" s="5" t="inlineStr">
        <is>
          <t>I08</t>
        </is>
      </c>
      <c r="B9" s="5" t="inlineStr">
        <is>
          <t>Steganography</t>
        </is>
      </c>
      <c r="C9" s="5" t="inlineStr">
        <is>
          <t>Collusion</t>
        </is>
      </c>
      <c r="D9" s="5" t="inlineStr">
        <is>
          <t>Failure mode</t>
        </is>
      </c>
      <c r="E9" s="5" t="inlineStr">
        <is>
          <t>2.3</t>
        </is>
      </c>
      <c r="F9" s="5" t="inlineStr">
        <is>
          <t>CS5</t>
        </is>
      </c>
      <c r="G9" s="5" t="inlineStr">
        <is>
          <t>—</t>
        </is>
      </c>
      <c r="H9" s="11" t="inlineStr">
        <is>
          <t>Case study</t>
        </is>
      </c>
      <c r="I9" s="7">
        <f>MAX(INDEX(Evidence!$M$2:$M$90,MATCH("CS5",Evidence!$A$2:$A$90,0)))</f>
        <v/>
      </c>
      <c r="J9" s="5" t="inlineStr">
        <is>
          <t>—</t>
        </is>
      </c>
      <c r="K9" s="5" t="inlineStr">
        <is>
          <t>—</t>
        </is>
      </c>
    </row>
    <row r="10">
      <c r="A10" s="5" t="inlineStr">
        <is>
          <t>I09</t>
        </is>
      </c>
      <c r="B10" s="5" t="inlineStr">
        <is>
          <t>Communication Constraints</t>
        </is>
      </c>
      <c r="C10" s="5" t="inlineStr">
        <is>
          <t>Information Asymmetries</t>
        </is>
      </c>
      <c r="D10" s="5" t="inlineStr">
        <is>
          <t>Risk factor</t>
        </is>
      </c>
      <c r="E10" s="5" t="inlineStr">
        <is>
          <t>3.1</t>
        </is>
      </c>
      <c r="F10" s="5" t="inlineStr">
        <is>
          <t>—</t>
        </is>
      </c>
      <c r="G10" s="5" t="inlineStr">
        <is>
          <t>—</t>
        </is>
      </c>
      <c r="H10" s="13" t="inlineStr">
        <is>
          <t>Cited empirical work</t>
        </is>
      </c>
      <c r="I10" s="7" t="n"/>
      <c r="J10" s="5" t="inlineStr">
        <is>
          <t>Foerster et al. 2016; Lazaridou &amp; Baroni 2020; Sukhbaatar et al. 2016</t>
        </is>
      </c>
      <c r="K10" s="5" t="inlineStr">
        <is>
          <t>Emergent-communication research on constrained channels; strategic withholding expected to dominate as capabilities grow.</t>
        </is>
      </c>
    </row>
    <row r="11">
      <c r="A11" s="5" t="inlineStr">
        <is>
          <t>I10</t>
        </is>
      </c>
      <c r="B11" s="5" t="inlineStr">
        <is>
          <t>Bargaining</t>
        </is>
      </c>
      <c r="C11" s="5" t="inlineStr">
        <is>
          <t>Information Asymmetries</t>
        </is>
      </c>
      <c r="D11" s="5" t="inlineStr">
        <is>
          <t>Risk factor</t>
        </is>
      </c>
      <c r="E11" s="5" t="inlineStr">
        <is>
          <t>3.1</t>
        </is>
      </c>
      <c r="F11" s="5" t="inlineStr">
        <is>
          <t>—</t>
        </is>
      </c>
      <c r="G11" s="5" t="inlineStr">
        <is>
          <t>—</t>
        </is>
      </c>
      <c r="H11" s="14" t="inlineStr">
        <is>
          <t>Theoretical</t>
        </is>
      </c>
      <c r="I11" s="7" t="n"/>
      <c r="J11" s="5" t="inlineStr">
        <is>
          <t>Myerson &amp; Satterthwaite 1983; Fearon 1995</t>
        </is>
      </c>
      <c r="K11" s="5" t="inlineStr">
        <is>
          <t>Formal results: private valuations make efficient bargaining impossible to guarantee and can lead to costly conflict.</t>
        </is>
      </c>
    </row>
    <row r="12">
      <c r="A12" s="5" t="inlineStr">
        <is>
          <t>I11</t>
        </is>
      </c>
      <c r="B12" s="5" t="inlineStr">
        <is>
          <t>Deception</t>
        </is>
      </c>
      <c r="C12" s="5" t="inlineStr">
        <is>
          <t>Information Asymmetries</t>
        </is>
      </c>
      <c r="D12" s="5" t="inlineStr">
        <is>
          <t>Risk factor</t>
        </is>
      </c>
      <c r="E12" s="5" t="inlineStr">
        <is>
          <t>3.1</t>
        </is>
      </c>
      <c r="F12" s="5" t="inlineStr">
        <is>
          <t>CS7</t>
        </is>
      </c>
      <c r="G12" s="5" t="inlineStr">
        <is>
          <t>CS6</t>
        </is>
      </c>
      <c r="H12" s="11" t="inlineStr">
        <is>
          <t>Case study</t>
        </is>
      </c>
      <c r="I12" s="7">
        <f>MAX(INDEX(Evidence!$M$2:$M$90,MATCH("CS7",Evidence!$A$2:$A$90,0)),INDEX(Evidence!$M$2:$M$90,MATCH("CS6",Evidence!$A$2:$A$90,0)))</f>
        <v/>
      </c>
      <c r="J12" s="5" t="inlineStr">
        <is>
          <t>—</t>
        </is>
      </c>
      <c r="K12" s="5" t="inlineStr">
        <is>
          <t>—</t>
        </is>
      </c>
    </row>
    <row r="13">
      <c r="A13" s="5" t="inlineStr">
        <is>
          <t>I12</t>
        </is>
      </c>
      <c r="B13" s="5" t="inlineStr">
        <is>
          <t>Error Propagation</t>
        </is>
      </c>
      <c r="C13" s="5" t="inlineStr">
        <is>
          <t>Network Effects</t>
        </is>
      </c>
      <c r="D13" s="5" t="inlineStr">
        <is>
          <t>Risk factor</t>
        </is>
      </c>
      <c r="E13" s="5" t="inlineStr">
        <is>
          <t>3.2</t>
        </is>
      </c>
      <c r="F13" s="5" t="inlineStr">
        <is>
          <t>CS7, CS8</t>
        </is>
      </c>
      <c r="G13" s="5" t="inlineStr">
        <is>
          <t>—</t>
        </is>
      </c>
      <c r="H13" s="11" t="inlineStr">
        <is>
          <t>Case study</t>
        </is>
      </c>
      <c r="I13" s="7">
        <f>MAX(INDEX(Evidence!$M$2:$M$90,MATCH("CS7",Evidence!$A$2:$A$90,0)),INDEX(Evidence!$M$2:$M$90,MATCH("CS8",Evidence!$A$2:$A$90,0)))</f>
        <v/>
      </c>
      <c r="J13" s="5" t="inlineStr">
        <is>
          <t>—</t>
        </is>
      </c>
      <c r="K13" s="5" t="inlineStr">
        <is>
          <t>—</t>
        </is>
      </c>
    </row>
    <row r="14">
      <c r="A14" s="5" t="inlineStr">
        <is>
          <t>I13</t>
        </is>
      </c>
      <c r="B14" s="5" t="inlineStr">
        <is>
          <t>Network Rewiring</t>
        </is>
      </c>
      <c r="C14" s="5" t="inlineStr">
        <is>
          <t>Network Effects</t>
        </is>
      </c>
      <c r="D14" s="5" t="inlineStr">
        <is>
          <t>Risk factor</t>
        </is>
      </c>
      <c r="E14" s="5" t="inlineStr">
        <is>
          <t>3.2</t>
        </is>
      </c>
      <c r="F14" s="5" t="inlineStr">
        <is>
          <t>—</t>
        </is>
      </c>
      <c r="G14" s="5" t="inlineStr">
        <is>
          <t>—</t>
        </is>
      </c>
      <c r="H14" s="14" t="inlineStr">
        <is>
          <t>Theoretical</t>
        </is>
      </c>
      <c r="I14" s="7" t="n"/>
      <c r="J14" s="5" t="inlineStr">
        <is>
          <t>Albert et al. 2000; Kunegis et al. 2013</t>
        </is>
      </c>
      <c r="K14" s="5" t="inlineStr">
        <is>
          <t>Network theory: AI-AI preferential attachment could centralise AI nodes or trigger phase transitions. Only anecdote cited (forum bots, Kulveit 2023).</t>
        </is>
      </c>
    </row>
    <row r="15">
      <c r="A15" s="5" t="inlineStr">
        <is>
          <t>I14</t>
        </is>
      </c>
      <c r="B15" s="5" t="inlineStr">
        <is>
          <t>Homogeneity and Correlated Failures</t>
        </is>
      </c>
      <c r="C15" s="5" t="inlineStr">
        <is>
          <t>Network Effects</t>
        </is>
      </c>
      <c r="D15" s="5" t="inlineStr">
        <is>
          <t>Risk factor</t>
        </is>
      </c>
      <c r="E15" s="5" t="inlineStr">
        <is>
          <t>3.2</t>
        </is>
      </c>
      <c r="F15" s="5" t="inlineStr">
        <is>
          <t>—</t>
        </is>
      </c>
      <c r="G15" s="5" t="inlineStr">
        <is>
          <t>—</t>
        </is>
      </c>
      <c r="H15" s="14" t="inlineStr">
        <is>
          <t>Theoretical</t>
        </is>
      </c>
      <c r="I15" s="7" t="n"/>
      <c r="J15" s="5" t="inlineStr">
        <is>
          <t>Bommasani et al. 2021</t>
        </is>
      </c>
      <c r="K15" s="5" t="inlineStr">
        <is>
          <t>Argued: many agents built on few foundation models share failure modes, vulnerabilities and biases.</t>
        </is>
      </c>
    </row>
    <row r="16">
      <c r="A16" s="5" t="inlineStr">
        <is>
          <t>I15</t>
        </is>
      </c>
      <c r="B16" s="5" t="inlineStr">
        <is>
          <t>Undesirable Dispositions from Competition</t>
        </is>
      </c>
      <c r="C16" s="5" t="inlineStr">
        <is>
          <t>Selection Pressures</t>
        </is>
      </c>
      <c r="D16" s="5" t="inlineStr">
        <is>
          <t>Risk factor</t>
        </is>
      </c>
      <c r="E16" s="5" t="inlineStr">
        <is>
          <t>3.3</t>
        </is>
      </c>
      <c r="F16" s="5" t="inlineStr">
        <is>
          <t>—</t>
        </is>
      </c>
      <c r="G16" s="5" t="inlineStr">
        <is>
          <t>CS9</t>
        </is>
      </c>
      <c r="H16" s="11" t="inlineStr">
        <is>
          <t>Case study</t>
        </is>
      </c>
      <c r="I16" s="7">
        <f>MAX(INDEX(Evidence!$M$2:$M$90,MATCH("CS9",Evidence!$A$2:$A$90,0)))</f>
        <v/>
      </c>
      <c r="J16" s="5" t="inlineStr">
        <is>
          <t>—</t>
        </is>
      </c>
      <c r="K16" s="5" t="inlineStr">
        <is>
          <t>—</t>
        </is>
      </c>
    </row>
    <row r="17">
      <c r="A17" s="5" t="inlineStr">
        <is>
          <t>I16</t>
        </is>
      </c>
      <c r="B17" s="5" t="inlineStr">
        <is>
          <t>Undesirable Dispositions from Human Data</t>
        </is>
      </c>
      <c r="C17" s="5" t="inlineStr">
        <is>
          <t>Selection Pressures</t>
        </is>
      </c>
      <c r="D17" s="5" t="inlineStr">
        <is>
          <t>Risk factor</t>
        </is>
      </c>
      <c r="E17" s="5" t="inlineStr">
        <is>
          <t>3.3</t>
        </is>
      </c>
      <c r="F17" s="5" t="inlineStr">
        <is>
          <t>CS7</t>
        </is>
      </c>
      <c r="G17" s="5" t="inlineStr">
        <is>
          <t>—</t>
        </is>
      </c>
      <c r="H17" s="11" t="inlineStr">
        <is>
          <t>Case study</t>
        </is>
      </c>
      <c r="I17" s="7">
        <f>MAX(INDEX(Evidence!$M$2:$M$90,MATCH("CS7",Evidence!$A$2:$A$90,0)))</f>
        <v/>
      </c>
      <c r="J17" s="5" t="inlineStr">
        <is>
          <t>—</t>
        </is>
      </c>
      <c r="K17" s="5" t="inlineStr">
        <is>
          <t>—</t>
        </is>
      </c>
    </row>
    <row r="18">
      <c r="A18" s="5" t="inlineStr">
        <is>
          <t>I17</t>
        </is>
      </c>
      <c r="B18" s="5" t="inlineStr">
        <is>
          <t>Undesirable Capabilities</t>
        </is>
      </c>
      <c r="C18" s="5" t="inlineStr">
        <is>
          <t>Selection Pressures</t>
        </is>
      </c>
      <c r="D18" s="5" t="inlineStr">
        <is>
          <t>Risk factor</t>
        </is>
      </c>
      <c r="E18" s="5" t="inlineStr">
        <is>
          <t>3.3</t>
        </is>
      </c>
      <c r="F18" s="5" t="inlineStr">
        <is>
          <t>—</t>
        </is>
      </c>
      <c r="G18" s="5" t="inlineStr">
        <is>
          <t>—</t>
        </is>
      </c>
      <c r="H18" s="13" t="inlineStr">
        <is>
          <t>Cited empirical work</t>
        </is>
      </c>
      <c r="I18" s="7" t="n"/>
      <c r="J18" s="5" t="inlineStr">
        <is>
          <t>Baker et al. 2019; Blumenkamp &amp; Prorok 2021</t>
        </is>
      </c>
      <c r="K18" s="5" t="inlineStr">
        <is>
          <t>Co-adaptation autocurricula: emergent tool use in hide-and-seek; agents learning manipulative communication.</t>
        </is>
      </c>
    </row>
    <row r="19">
      <c r="A19" s="5" t="inlineStr">
        <is>
          <t>I18</t>
        </is>
      </c>
      <c r="B19" s="5" t="inlineStr">
        <is>
          <t>Feedback Loops</t>
        </is>
      </c>
      <c r="C19" s="5" t="inlineStr">
        <is>
          <t>Destabilising Dynamics</t>
        </is>
      </c>
      <c r="D19" s="5" t="inlineStr">
        <is>
          <t>Risk factor</t>
        </is>
      </c>
      <c r="E19" s="5" t="inlineStr">
        <is>
          <t>3.4</t>
        </is>
      </c>
      <c r="F19" s="5" t="inlineStr">
        <is>
          <t>CS10</t>
        </is>
      </c>
      <c r="G19" s="5" t="inlineStr">
        <is>
          <t>—</t>
        </is>
      </c>
      <c r="H19" s="11" t="inlineStr">
        <is>
          <t>Case study</t>
        </is>
      </c>
      <c r="I19" s="7">
        <f>MAX(INDEX(Evidence!$M$2:$M$90,MATCH("CS10",Evidence!$A$2:$A$90,0)))</f>
        <v/>
      </c>
      <c r="J19" s="5" t="inlineStr">
        <is>
          <t>—</t>
        </is>
      </c>
      <c r="K19" s="5" t="inlineStr">
        <is>
          <t>—</t>
        </is>
      </c>
    </row>
    <row r="20">
      <c r="A20" s="5" t="inlineStr">
        <is>
          <t>I19</t>
        </is>
      </c>
      <c r="B20" s="5" t="inlineStr">
        <is>
          <t>Cyclic Behaviour</t>
        </is>
      </c>
      <c r="C20" s="5" t="inlineStr">
        <is>
          <t>Destabilising Dynamics</t>
        </is>
      </c>
      <c r="D20" s="5" t="inlineStr">
        <is>
          <t>Risk factor</t>
        </is>
      </c>
      <c r="E20" s="5" t="inlineStr">
        <is>
          <t>3.4</t>
        </is>
      </c>
      <c r="F20" s="5" t="inlineStr">
        <is>
          <t>—</t>
        </is>
      </c>
      <c r="G20" s="5" t="inlineStr">
        <is>
          <t>—</t>
        </is>
      </c>
      <c r="H20" s="14" t="inlineStr">
        <is>
          <t>Theoretical</t>
        </is>
      </c>
      <c r="I20" s="7" t="n"/>
      <c r="J20" s="5" t="inlineStr">
        <is>
          <t>Zinkevich et al. 2005; Paes Leme et al. 2024</t>
        </is>
      </c>
      <c r="K20" s="5" t="inlineStr">
        <is>
          <t>Formal results: multi-agent Q-learning can cycle; auto-bidding dynamics can fail to converge to truthful equilibria.</t>
        </is>
      </c>
    </row>
    <row r="21">
      <c r="A21" s="5" t="inlineStr">
        <is>
          <t>I20</t>
        </is>
      </c>
      <c r="B21" s="5" t="inlineStr">
        <is>
          <t>Chaos</t>
        </is>
      </c>
      <c r="C21" s="5" t="inlineStr">
        <is>
          <t>Destabilising Dynamics</t>
        </is>
      </c>
      <c r="D21" s="5" t="inlineStr">
        <is>
          <t>Risk factor</t>
        </is>
      </c>
      <c r="E21" s="5" t="inlineStr">
        <is>
          <t>3.4</t>
        </is>
      </c>
      <c r="F21" s="5" t="inlineStr">
        <is>
          <t>—</t>
        </is>
      </c>
      <c r="G21" s="5" t="inlineStr">
        <is>
          <t>—</t>
        </is>
      </c>
      <c r="H21" s="14" t="inlineStr">
        <is>
          <t>Theoretical</t>
        </is>
      </c>
      <c r="I21" s="7" t="n"/>
      <c r="J21" s="5" t="inlineStr">
        <is>
          <t>Sanders et al. 2018; Cheung &amp; Piliouras 2020</t>
        </is>
      </c>
      <c r="K21" s="5" t="inlineStr">
        <is>
          <t>Formal results: chaotic learning dynamics become the norm as agent count grows; paper notes not yet seen in frontier AI.</t>
        </is>
      </c>
    </row>
    <row r="22">
      <c r="A22" s="5" t="inlineStr">
        <is>
          <t>I21</t>
        </is>
      </c>
      <c r="B22" s="5" t="inlineStr">
        <is>
          <t>Phase Transitions</t>
        </is>
      </c>
      <c r="C22" s="5" t="inlineStr">
        <is>
          <t>Destabilising Dynamics</t>
        </is>
      </c>
      <c r="D22" s="5" t="inlineStr">
        <is>
          <t>Risk factor</t>
        </is>
      </c>
      <c r="E22" s="5" t="inlineStr">
        <is>
          <t>3.4</t>
        </is>
      </c>
      <c r="F22" s="5" t="inlineStr">
        <is>
          <t>—</t>
        </is>
      </c>
      <c r="G22" s="5" t="inlineStr">
        <is>
          <t>—</t>
        </is>
      </c>
      <c r="H22" s="14" t="inlineStr">
        <is>
          <t>Theoretical</t>
        </is>
      </c>
      <c r="I22" s="7" t="n"/>
      <c r="J22" s="5" t="inlineStr">
        <is>
          <t>Leonardos &amp; Piliouras 2022; Zeeman 1976</t>
        </is>
      </c>
      <c r="K22" s="5" t="inlineStr">
        <is>
          <t>Formal results: small parameter changes (e.g. RL exploration rate) cause bifurcations in equilibria.</t>
        </is>
      </c>
    </row>
    <row r="23">
      <c r="A23" s="5" t="inlineStr">
        <is>
          <t>I22</t>
        </is>
      </c>
      <c r="B23" s="5" t="inlineStr">
        <is>
          <t>Distributional Shift</t>
        </is>
      </c>
      <c r="C23" s="5" t="inlineStr">
        <is>
          <t>Destabilising Dynamics</t>
        </is>
      </c>
      <c r="D23" s="5" t="inlineStr">
        <is>
          <t>Risk factor</t>
        </is>
      </c>
      <c r="E23" s="5" t="inlineStr">
        <is>
          <t>3.4</t>
        </is>
      </c>
      <c r="F23" s="5" t="inlineStr">
        <is>
          <t>—</t>
        </is>
      </c>
      <c r="G23" s="5" t="inlineStr">
        <is>
          <t>—</t>
        </is>
      </c>
      <c r="H23" s="14" t="inlineStr">
        <is>
          <t>Theoretical</t>
        </is>
      </c>
      <c r="I23" s="7" t="n"/>
      <c r="J23" s="5" t="inlineStr">
        <is>
          <t>Stastny et al. 2021; Papoudakis et al. 2019</t>
        </is>
      </c>
      <c r="K23" s="5" t="inlineStr">
        <is>
          <t>Argued: co-adapting agents create non-stationarity; narrow training co-players cause overconfidence in negotiation.</t>
        </is>
      </c>
    </row>
    <row r="24">
      <c r="A24" s="5" t="inlineStr">
        <is>
          <t>I23</t>
        </is>
      </c>
      <c r="B24" s="5" t="inlineStr">
        <is>
          <t>Inefficient Outcomes</t>
        </is>
      </c>
      <c r="C24" s="5" t="inlineStr">
        <is>
          <t>Commitment and Trust</t>
        </is>
      </c>
      <c r="D24" s="5" t="inlineStr">
        <is>
          <t>Risk factor</t>
        </is>
      </c>
      <c r="E24" s="5" t="inlineStr">
        <is>
          <t>3.5</t>
        </is>
      </c>
      <c r="F24" s="5" t="inlineStr">
        <is>
          <t>—</t>
        </is>
      </c>
      <c r="G24" s="5" t="inlineStr">
        <is>
          <t>—</t>
        </is>
      </c>
      <c r="H24" s="14" t="inlineStr">
        <is>
          <t>Theoretical</t>
        </is>
      </c>
      <c r="I24" s="7" t="n"/>
      <c r="J24" s="5" t="inlineStr">
        <is>
          <t>Fearon 1995; Powell 2006</t>
        </is>
      </c>
      <c r="K24" s="5" t="inlineStr">
        <is>
          <t>Argued: easily created, deceptive agents garner little trust, causing economic inefficiency and pressure to defect.</t>
        </is>
      </c>
    </row>
    <row r="25">
      <c r="A25" s="5" t="inlineStr">
        <is>
          <t>I24</t>
        </is>
      </c>
      <c r="B25" s="5" t="inlineStr">
        <is>
          <t>Threats and Extortion</t>
        </is>
      </c>
      <c r="C25" s="5" t="inlineStr">
        <is>
          <t>Commitment and Trust</t>
        </is>
      </c>
      <c r="D25" s="5" t="inlineStr">
        <is>
          <t>Risk factor</t>
        </is>
      </c>
      <c r="E25" s="5" t="inlineStr">
        <is>
          <t>3.5</t>
        </is>
      </c>
      <c r="F25" s="5" t="inlineStr">
        <is>
          <t>CS11</t>
        </is>
      </c>
      <c r="G25" s="5" t="inlineStr">
        <is>
          <t>—</t>
        </is>
      </c>
      <c r="H25" s="11" t="inlineStr">
        <is>
          <t>Case study</t>
        </is>
      </c>
      <c r="I25" s="7">
        <f>MAX(INDEX(Evidence!$M$2:$M$90,MATCH("CS11",Evidence!$A$2:$A$90,0)))</f>
        <v/>
      </c>
      <c r="J25" s="5" t="inlineStr">
        <is>
          <t>—</t>
        </is>
      </c>
      <c r="K25" s="5" t="inlineStr">
        <is>
          <t>—</t>
        </is>
      </c>
    </row>
    <row r="26">
      <c r="A26" s="5" t="inlineStr">
        <is>
          <t>I25</t>
        </is>
      </c>
      <c r="B26" s="5" t="inlineStr">
        <is>
          <t>Rigidity and Mistaken Commitments</t>
        </is>
      </c>
      <c r="C26" s="5" t="inlineStr">
        <is>
          <t>Commitment and Trust</t>
        </is>
      </c>
      <c r="D26" s="5" t="inlineStr">
        <is>
          <t>Risk factor</t>
        </is>
      </c>
      <c r="E26" s="5" t="inlineStr">
        <is>
          <t>3.5</t>
        </is>
      </c>
      <c r="F26" s="5" t="inlineStr">
        <is>
          <t>CS11</t>
        </is>
      </c>
      <c r="G26" s="5" t="inlineStr">
        <is>
          <t>—</t>
        </is>
      </c>
      <c r="H26" s="11" t="inlineStr">
        <is>
          <t>Case study</t>
        </is>
      </c>
      <c r="I26" s="7">
        <f>MAX(INDEX(Evidence!$M$2:$M$90,MATCH("CS11",Evidence!$A$2:$A$90,0)))</f>
        <v/>
      </c>
      <c r="J26" s="5" t="inlineStr">
        <is>
          <t>—</t>
        </is>
      </c>
      <c r="K26" s="5" t="inlineStr">
        <is>
          <t>—</t>
        </is>
      </c>
    </row>
    <row r="27">
      <c r="A27" s="5" t="inlineStr">
        <is>
          <t>I26</t>
        </is>
      </c>
      <c r="B27" s="5" t="inlineStr">
        <is>
          <t>Emergent Capabilities</t>
        </is>
      </c>
      <c r="C27" s="5" t="inlineStr">
        <is>
          <t>Emergent Agency</t>
        </is>
      </c>
      <c r="D27" s="5" t="inlineStr">
        <is>
          <t>Risk factor</t>
        </is>
      </c>
      <c r="E27" s="5" t="inlineStr">
        <is>
          <t>3.6</t>
        </is>
      </c>
      <c r="F27" s="5" t="inlineStr">
        <is>
          <t>—</t>
        </is>
      </c>
      <c r="G27" s="5" t="inlineStr">
        <is>
          <t>—</t>
        </is>
      </c>
      <c r="H27" s="14" t="inlineStr">
        <is>
          <t>Theoretical</t>
        </is>
      </c>
      <c r="I27" s="7" t="n"/>
      <c r="J27" s="5" t="inlineStr">
        <is>
          <t>Konda &amp; Tsitsiklis 2000; Drexler 2019</t>
        </is>
      </c>
      <c r="K27" s="5" t="inlineStr">
        <is>
          <t>Hypothetical: composed narrow tools (e.g. automated chemistry workflow) exceed individual capabilities. CS12 gives partial lab evidence.</t>
        </is>
      </c>
    </row>
    <row r="28">
      <c r="A28" s="5" t="inlineStr">
        <is>
          <t>I27</t>
        </is>
      </c>
      <c r="B28" s="5" t="inlineStr">
        <is>
          <t>Emergent Goals</t>
        </is>
      </c>
      <c r="C28" s="5" t="inlineStr">
        <is>
          <t>Emergent Agency</t>
        </is>
      </c>
      <c r="D28" s="5" t="inlineStr">
        <is>
          <t>Risk factor</t>
        </is>
      </c>
      <c r="E28" s="5" t="inlineStr">
        <is>
          <t>3.6</t>
        </is>
      </c>
      <c r="F28" s="5" t="inlineStr">
        <is>
          <t>—</t>
        </is>
      </c>
      <c r="G28" s="5" t="inlineStr">
        <is>
          <t>—</t>
        </is>
      </c>
      <c r="H28" s="14" t="inlineStr">
        <is>
          <t>Theoretical</t>
        </is>
      </c>
      <c r="I28" s="7" t="n"/>
      <c r="J28" s="5" t="inlineStr">
        <is>
          <t>Dennett 1971</t>
        </is>
      </c>
      <c r="K28" s="5" t="inlineStr">
        <is>
          <t>Hypothetical: engagement-optimising moderation bots collectively shift users' politics. Paper states no advanced-AI examples are known.</t>
        </is>
      </c>
    </row>
    <row r="29">
      <c r="A29" s="5" t="inlineStr">
        <is>
          <t>I28</t>
        </is>
      </c>
      <c r="B29" s="5" t="inlineStr">
        <is>
          <t>Swarm Attacks</t>
        </is>
      </c>
      <c r="C29" s="5" t="inlineStr">
        <is>
          <t>Multi-Agent Security</t>
        </is>
      </c>
      <c r="D29" s="5" t="inlineStr">
        <is>
          <t>Risk factor</t>
        </is>
      </c>
      <c r="E29" s="5" t="inlineStr">
        <is>
          <t>3.7</t>
        </is>
      </c>
      <c r="F29" s="5" t="inlineStr">
        <is>
          <t>—</t>
        </is>
      </c>
      <c r="G29" s="5" t="inlineStr">
        <is>
          <t>—</t>
        </is>
      </c>
      <c r="H29" s="14" t="inlineStr">
        <is>
          <t>Theoretical</t>
        </is>
      </c>
      <c r="I29" s="7" t="n"/>
      <c r="J29" s="5" t="inlineStr">
        <is>
          <t>DDoS / brigading analogues (Cisco 2023)</t>
        </is>
      </c>
      <c r="K29" s="5" t="inlineStr">
        <is>
          <t>Extrapolated from non-AI bot swarms to adaptive AI agents that jointly find new attack surfaces.</t>
        </is>
      </c>
    </row>
    <row r="30">
      <c r="A30" s="5" t="inlineStr">
        <is>
          <t>I29</t>
        </is>
      </c>
      <c r="B30" s="5" t="inlineStr">
        <is>
          <t>Heterogeneous Attacks</t>
        </is>
      </c>
      <c r="C30" s="5" t="inlineStr">
        <is>
          <t>Multi-Agent Security</t>
        </is>
      </c>
      <c r="D30" s="5" t="inlineStr">
        <is>
          <t>Risk factor</t>
        </is>
      </c>
      <c r="E30" s="5" t="inlineStr">
        <is>
          <t>3.7</t>
        </is>
      </c>
      <c r="F30" s="5" t="inlineStr">
        <is>
          <t>CS12</t>
        </is>
      </c>
      <c r="G30" s="5" t="inlineStr">
        <is>
          <t>—</t>
        </is>
      </c>
      <c r="H30" s="11" t="inlineStr">
        <is>
          <t>Case study</t>
        </is>
      </c>
      <c r="I30" s="7">
        <f>MAX(INDEX(Evidence!$M$2:$M$90,MATCH("CS12",Evidence!$A$2:$A$90,0)))</f>
        <v/>
      </c>
      <c r="J30" s="5" t="inlineStr">
        <is>
          <t>—</t>
        </is>
      </c>
      <c r="K30" s="5" t="inlineStr">
        <is>
          <t>—</t>
        </is>
      </c>
    </row>
    <row r="31">
      <c r="A31" s="5" t="inlineStr">
        <is>
          <t>I30</t>
        </is>
      </c>
      <c r="B31" s="5" t="inlineStr">
        <is>
          <t>Social Engineering at Scale</t>
        </is>
      </c>
      <c r="C31" s="5" t="inlineStr">
        <is>
          <t>Multi-Agent Security</t>
        </is>
      </c>
      <c r="D31" s="5" t="inlineStr">
        <is>
          <t>Risk factor</t>
        </is>
      </c>
      <c r="E31" s="5" t="inlineStr">
        <is>
          <t>3.7</t>
        </is>
      </c>
      <c r="F31" s="5" t="inlineStr">
        <is>
          <t>—</t>
        </is>
      </c>
      <c r="G31" s="5" t="inlineStr">
        <is>
          <t>—</t>
        </is>
      </c>
      <c r="H31" s="14" t="inlineStr">
        <is>
          <t>Theoretical</t>
        </is>
      </c>
      <c r="I31" s="7" t="n"/>
      <c r="J31" s="5" t="inlineStr">
        <is>
          <t>Ai et al. 2024; Hazell 2023</t>
        </is>
      </c>
      <c r="K31" s="5" t="inlineStr">
        <is>
          <t>Argued: many coordinated, seemingly independent agents persuade or phish more effectively and evade detection.</t>
        </is>
      </c>
    </row>
    <row r="32">
      <c r="A32" s="5" t="inlineStr">
        <is>
          <t>I31</t>
        </is>
      </c>
      <c r="B32" s="5" t="inlineStr">
        <is>
          <t>Vulnerable AI Agents</t>
        </is>
      </c>
      <c r="C32" s="5" t="inlineStr">
        <is>
          <t>Multi-Agent Security</t>
        </is>
      </c>
      <c r="D32" s="5" t="inlineStr">
        <is>
          <t>Risk factor</t>
        </is>
      </c>
      <c r="E32" s="5" t="inlineStr">
        <is>
          <t>3.7</t>
        </is>
      </c>
      <c r="F32" s="5" t="inlineStr">
        <is>
          <t>CS13</t>
        </is>
      </c>
      <c r="G32" s="5" t="inlineStr">
        <is>
          <t>—</t>
        </is>
      </c>
      <c r="H32" s="11" t="inlineStr">
        <is>
          <t>Case study</t>
        </is>
      </c>
      <c r="I32" s="7">
        <f>MAX(INDEX(Evidence!$M$2:$M$90,MATCH("CS13",Evidence!$A$2:$A$90,0)))</f>
        <v/>
      </c>
      <c r="J32" s="5" t="inlineStr">
        <is>
          <t>—</t>
        </is>
      </c>
      <c r="K32" s="5" t="inlineStr">
        <is>
          <t>—</t>
        </is>
      </c>
    </row>
    <row r="33">
      <c r="A33" s="5" t="inlineStr">
        <is>
          <t>I32</t>
        </is>
      </c>
      <c r="B33" s="5" t="inlineStr">
        <is>
          <t>Cascading Security Failures</t>
        </is>
      </c>
      <c r="C33" s="5" t="inlineStr">
        <is>
          <t>Multi-Agent Security</t>
        </is>
      </c>
      <c r="D33" s="5" t="inlineStr">
        <is>
          <t>Risk factor</t>
        </is>
      </c>
      <c r="E33" s="5" t="inlineStr">
        <is>
          <t>3.7</t>
        </is>
      </c>
      <c r="F33" s="5" t="inlineStr">
        <is>
          <t>CS8</t>
        </is>
      </c>
      <c r="G33" s="5" t="inlineStr">
        <is>
          <t>—</t>
        </is>
      </c>
      <c r="H33" s="11" t="inlineStr">
        <is>
          <t>Case study</t>
        </is>
      </c>
      <c r="I33" s="7">
        <f>MAX(INDEX(Evidence!$M$2:$M$90,MATCH("CS8",Evidence!$A$2:$A$90,0)))</f>
        <v/>
      </c>
      <c r="J33" s="5" t="inlineStr">
        <is>
          <t>—</t>
        </is>
      </c>
      <c r="K33" s="5" t="inlineStr">
        <is>
          <t>—</t>
        </is>
      </c>
    </row>
    <row r="34">
      <c r="A34" s="5" t="inlineStr">
        <is>
          <t>I33</t>
        </is>
      </c>
      <c r="B34" s="5" t="inlineStr">
        <is>
          <t>Undetectable Threats</t>
        </is>
      </c>
      <c r="C34" s="5" t="inlineStr">
        <is>
          <t>Multi-Agent Security</t>
        </is>
      </c>
      <c r="D34" s="5" t="inlineStr">
        <is>
          <t>Risk factor</t>
        </is>
      </c>
      <c r="E34" s="5" t="inlineStr">
        <is>
          <t>3.7</t>
        </is>
      </c>
      <c r="F34" s="5" t="inlineStr">
        <is>
          <t>—</t>
        </is>
      </c>
      <c r="G34" s="5" t="inlineStr">
        <is>
          <t>—</t>
        </is>
      </c>
      <c r="H34" s="13" t="inlineStr">
        <is>
          <t>Cited empirical work</t>
        </is>
      </c>
      <c r="I34" s="7" t="n"/>
      <c r="J34" s="5" t="inlineStr">
        <is>
          <t>Motwani et al. 2024; Franzmeyer et al. 2023; Draguns et al. 2024</t>
        </is>
      </c>
      <c r="K34" s="5" t="inlineStr">
        <is>
          <t>Steganography, illusory attacks and encrypted backdoors shown to evade detection. Motwani et al. is also the CS5 source but is not cross-referenced here as a case study.</t>
        </is>
      </c>
    </row>
  </sheetData>
  <autoFilter ref="A1:K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58" customWidth="1" min="3" max="3"/>
    <col width="10" customWidth="1" min="4" max="4"/>
    <col width="20" customWidth="1" min="5" max="5"/>
    <col width="20" customWidth="1" min="6" max="6"/>
    <col width="30" customWidth="1" min="7" max="7"/>
    <col width="16" customWidth="1" min="8" max="8"/>
    <col width="16" customWidth="1" min="9" max="9"/>
    <col width="16" customWidth="1" min="10" max="10"/>
    <col width="22" customWidth="1" min="11" max="11"/>
    <col width="12" customWidth="1" min="12" max="12"/>
    <col width="10" customWidth="1" min="13" max="13"/>
    <col width="9" customWidth="1" min="14" max="14"/>
    <col width="9" customWidth="1" min="15" max="15"/>
    <col width="9" customWidth="1" min="16" max="16"/>
    <col width="9" customWidth="1" min="17" max="17"/>
    <col width="9" customWidth="1" min="18" max="18"/>
    <col width="48" customWidth="1" min="19" max="19"/>
    <col width="6" customWidth="1" min="20" max="20"/>
    <col width="26" customWidth="1" min="21" max="21"/>
    <col width="32" customWidth="1" min="22" max="22"/>
    <col width="12" customWidth="1" min="23" max="23"/>
    <col width="55" customWidth="1" min="24" max="24"/>
  </cols>
  <sheetData>
    <row r="1" ht="30" customHeight="1">
      <c r="A1" s="1" t="inlineStr">
        <is>
          <t>id</t>
        </is>
      </c>
      <c r="B1" s="1" t="inlineStr">
        <is>
          <t>evidence_class</t>
        </is>
      </c>
      <c r="C1" s="1" t="inlineStr">
        <is>
          <t>title</t>
        </is>
      </c>
      <c r="D1" s="1" t="inlineStr">
        <is>
          <t>date</t>
        </is>
      </c>
      <c r="E1" s="1" t="inlineStr">
        <is>
          <t>type</t>
        </is>
      </c>
      <c r="F1" s="1" t="inlineStr">
        <is>
          <t>source_class</t>
        </is>
      </c>
      <c r="G1" s="1" t="inlineStr">
        <is>
          <t>system</t>
        </is>
      </c>
      <c r="H1" s="1" t="inlineStr">
        <is>
          <t>system_basis</t>
        </is>
      </c>
      <c r="I1" s="1" t="inlineStr">
        <is>
          <t>harm</t>
        </is>
      </c>
      <c r="J1" s="1" t="inlineStr">
        <is>
          <t>failure_modes</t>
        </is>
      </c>
      <c r="K1" s="1" t="inlineStr">
        <is>
          <t>risk_factors</t>
        </is>
      </c>
      <c r="L1" s="1" t="inlineStr">
        <is>
          <t>evidence_strength</t>
        </is>
      </c>
      <c r="M1" s="1" t="inlineStr">
        <is>
          <t>evidence_score</t>
        </is>
      </c>
      <c r="N1" s="1" t="inlineStr">
        <is>
          <t>e1_ecological_validity</t>
        </is>
      </c>
      <c r="O1" s="1" t="inlineStr">
        <is>
          <t>e2_causal_attribution</t>
        </is>
      </c>
      <c r="P1" s="1" t="inlineStr">
        <is>
          <t>e3_scale_precision</t>
        </is>
      </c>
      <c r="Q1" s="1" t="inlineStr">
        <is>
          <t>e4_corroboration</t>
        </is>
      </c>
      <c r="R1" s="1" t="inlineStr">
        <is>
          <t>e5_source_vetting</t>
        </is>
      </c>
      <c r="S1" s="1" t="inlineStr">
        <is>
          <t>notes</t>
        </is>
      </c>
      <c r="T1" s="1" t="inlineStr">
        <is>
          <t>page</t>
        </is>
      </c>
      <c r="U1" s="1" t="inlineStr">
        <is>
          <t>source</t>
        </is>
      </c>
      <c r="V1" s="1" t="inlineStr">
        <is>
          <t>source_url</t>
        </is>
      </c>
      <c r="W1" s="1" t="inlineStr">
        <is>
          <t>retrieved_on</t>
        </is>
      </c>
      <c r="X1" s="1" t="inlineStr">
        <is>
          <t>summary</t>
        </is>
      </c>
    </row>
    <row r="2">
      <c r="A2" s="14" t="inlineStr">
        <is>
          <t>CS1</t>
        </is>
      </c>
      <c r="B2" s="14" t="inlineStr">
        <is>
          <t>Case study</t>
        </is>
      </c>
      <c r="C2" s="14" t="inlineStr">
        <is>
          <t>Zero-Shot Coordination Failures in Driving</t>
        </is>
      </c>
      <c r="D2" s="15" t="n">
        <v>45707</v>
      </c>
      <c r="E2" s="14" t="inlineStr">
        <is>
          <t>Synthetic evidence</t>
        </is>
      </c>
      <c r="F2" s="14" t="inlineStr">
        <is>
          <t>Novel experiment by report authors</t>
        </is>
      </c>
      <c r="G2" s="14" t="n"/>
      <c r="H2" s="14" t="inlineStr">
        <is>
          <t>Advanced AI agents</t>
        </is>
      </c>
      <c r="I2" s="14" t="inlineStr">
        <is>
          <t>No realized harm flag</t>
        </is>
      </c>
      <c r="J2" s="14" t="inlineStr">
        <is>
          <t>Miscoordination</t>
        </is>
      </c>
      <c r="K2" s="14" t="inlineStr">
        <is>
          <t>Information Asymmetries
Selection Pressures</t>
        </is>
      </c>
      <c r="L2" s="14">
        <f>IF(M2&gt;=9,"Strong",IF(M2&gt;=6,"Moderate",IF(M2&gt;=3,"Limited","Weak")))</f>
        <v/>
      </c>
      <c r="M2" s="16">
        <f>SUM(N2:R2)</f>
        <v/>
      </c>
      <c r="N2" s="16" t="n">
        <v>1</v>
      </c>
      <c r="O2" s="16" t="n">
        <v>2</v>
      </c>
      <c r="P2" s="16" t="n">
        <v>1</v>
      </c>
      <c r="Q2" s="16" t="n">
        <v>0</v>
      </c>
      <c r="R2" s="16" t="n">
        <v>0</v>
      </c>
      <c r="S2" s="14" t="inlineStr">
        <is>
          <t>Base vs specialised comparison; n=40; report-authored, unreviewed. Text scene descriptions of driving situations; no physics sim.</t>
        </is>
      </c>
      <c r="T2" s="14" t="n">
        <v>11</v>
      </c>
      <c r="U2" s="14" t="inlineStr">
        <is>
          <t>Report authors (App. B.1)</t>
        </is>
      </c>
      <c r="V2" s="17" t="inlineStr">
        <is>
          <t>https://arxiv.org/abs/2502.14143</t>
        </is>
      </c>
      <c r="W2" s="15" t="n">
        <v>46320</v>
      </c>
      <c r="X2" s="14" t="inlineStr">
        <is>
          <t>Two GPT-3.5 agents fine-tuned on US vs Indian emergency-yielding conventions failed 77.5% of scenarios (31/40) vs 5% for base models.</t>
        </is>
      </c>
    </row>
    <row r="3">
      <c r="A3" s="14" t="inlineStr">
        <is>
          <t>CS2</t>
        </is>
      </c>
      <c r="B3" s="14" t="inlineStr">
        <is>
          <t>Case study</t>
        </is>
      </c>
      <c r="C3" s="14" t="inlineStr">
        <is>
          <t>Common Resource Problems</t>
        </is>
      </c>
      <c r="D3" s="18" t="n">
        <v>45292</v>
      </c>
      <c r="E3" s="14" t="inlineStr">
        <is>
          <t>Synthetic evidence</t>
        </is>
      </c>
      <c r="F3" s="14" t="inlineStr">
        <is>
          <t>Literature</t>
        </is>
      </c>
      <c r="G3" s="14" t="n"/>
      <c r="H3" s="14" t="inlineStr">
        <is>
          <t>Advanced AI agents</t>
        </is>
      </c>
      <c r="I3" s="14" t="inlineStr">
        <is>
          <t>No realized harm flag</t>
        </is>
      </c>
      <c r="J3" s="14" t="inlineStr">
        <is>
          <t>Conflict</t>
        </is>
      </c>
      <c r="K3" s="14" t="inlineStr">
        <is>
          <t>Selection Pressures
Commitment and Trust</t>
        </is>
      </c>
      <c r="L3" s="14">
        <f>IF(M3&gt;=9,"Strong",IF(M3&gt;=6,"Moderate",IF(M3&gt;=3,"Limited","Weak")))</f>
        <v/>
      </c>
      <c r="M3" s="16">
        <f>SUM(N3:R3)</f>
        <v/>
      </c>
      <c r="N3" s="16" t="n">
        <v>1</v>
      </c>
      <c r="O3" s="16" t="n">
        <v>1</v>
      </c>
      <c r="P3" s="16" t="n">
        <v>2</v>
      </c>
      <c r="Q3" s="16" t="n">
        <v>1</v>
      </c>
      <c r="R3" s="16" t="n">
        <v>2</v>
      </c>
      <c r="S3" s="14" t="inlineStr">
        <is>
          <t>GovSim (NeurIPS 2024); 15 LLMs x 3 scenarios; corroborated by Leibo et al. 2017.</t>
        </is>
      </c>
      <c r="T3" s="14" t="n">
        <v>14</v>
      </c>
      <c r="U3" s="14" t="inlineStr">
        <is>
          <t>Piatti et al. (2024), GovSim</t>
        </is>
      </c>
      <c r="V3" s="17" t="inlineStr">
        <is>
          <t>https://arxiv.org/abs/2502.14143</t>
        </is>
      </c>
      <c r="W3" s="15" t="n">
        <v>46320</v>
      </c>
      <c r="X3" s="14" t="inlineStr">
        <is>
          <t>15 LLMs managing shared resources (fishing, grazing, pollution); best models survived only ~54% of runs.</t>
        </is>
      </c>
    </row>
    <row r="4">
      <c r="A4" s="14" t="inlineStr">
        <is>
          <t>CS3</t>
        </is>
      </c>
      <c r="B4" s="14" t="inlineStr">
        <is>
          <t>Case study</t>
        </is>
      </c>
      <c r="C4" s="14" t="inlineStr">
        <is>
          <t>Escalation in Military Conflicts</t>
        </is>
      </c>
      <c r="D4" s="18" t="n">
        <v>45292</v>
      </c>
      <c r="E4" s="14" t="inlineStr">
        <is>
          <t>Synthetic evidence</t>
        </is>
      </c>
      <c r="F4" s="14" t="inlineStr">
        <is>
          <t>Literature</t>
        </is>
      </c>
      <c r="G4" s="14" t="n"/>
      <c r="H4" s="14" t="inlineStr">
        <is>
          <t>Advanced AI agents</t>
        </is>
      </c>
      <c r="I4" s="14" t="inlineStr">
        <is>
          <t>No realized harm flag</t>
        </is>
      </c>
      <c r="J4" s="14" t="inlineStr">
        <is>
          <t>Conflict</t>
        </is>
      </c>
      <c r="K4" s="14" t="inlineStr">
        <is>
          <t>Destabilising Dynamics</t>
        </is>
      </c>
      <c r="L4" s="14">
        <f>IF(M4&gt;=9,"Strong",IF(M4&gt;=6,"Moderate",IF(M4&gt;=3,"Limited","Weak")))</f>
        <v/>
      </c>
      <c r="M4" s="16">
        <f>SUM(N4:R4)</f>
        <v/>
      </c>
      <c r="N4" s="16" t="n">
        <v>1</v>
      </c>
      <c r="O4" s="16" t="n">
        <v>1</v>
      </c>
      <c r="P4" s="16" t="n">
        <v>2</v>
      </c>
      <c r="Q4" s="16" t="n">
        <v>2</v>
      </c>
      <c r="R4" s="16" t="n">
        <v>2</v>
      </c>
      <c r="S4" s="14" t="inlineStr">
        <is>
          <t>Rivera et al. (FAccT 2024), 5 LLMs; corroborated by Lamparth et al. 2024, Shrivastava et al. 2024. Nation-state wargame.</t>
        </is>
      </c>
      <c r="T4" s="14" t="n">
        <v>15</v>
      </c>
      <c r="U4" s="14" t="inlineStr">
        <is>
          <t>Rivera et al. (2024)</t>
        </is>
      </c>
      <c r="V4" s="17" t="inlineStr">
        <is>
          <t>https://arxiv.org/abs/2502.14143</t>
        </is>
      </c>
      <c r="W4" s="15" t="n">
        <v>46320</v>
      </c>
      <c r="X4" s="14" t="inlineStr">
        <is>
          <t>LLM agents controlling 8 nation-states developed arms-race and escalatory behaviour; all 5 models escalated even from neutral starts.</t>
        </is>
      </c>
    </row>
    <row r="5">
      <c r="A5" s="14" t="inlineStr">
        <is>
          <t>CS4</t>
        </is>
      </c>
      <c r="B5" s="14" t="inlineStr">
        <is>
          <t>Case study</t>
        </is>
      </c>
      <c r="C5" s="14" t="inlineStr">
        <is>
          <t>Algorithmic Collusion in the German Retail Gasoline Market</t>
        </is>
      </c>
      <c r="D5" s="18" t="n">
        <v>42736</v>
      </c>
      <c r="E5" s="14" t="inlineStr">
        <is>
          <t>Observed in real world</t>
        </is>
      </c>
      <c r="F5" s="14" t="inlineStr">
        <is>
          <t>Historical example</t>
        </is>
      </c>
      <c r="G5" s="14" t="n"/>
      <c r="H5" s="14" t="inlineStr">
        <is>
          <t>Simple systems</t>
        </is>
      </c>
      <c r="I5" s="14" t="inlineStr">
        <is>
          <t>Realized harm</t>
        </is>
      </c>
      <c r="J5" s="14" t="inlineStr">
        <is>
          <t>Collusion</t>
        </is>
      </c>
      <c r="K5" s="14" t="inlineStr">
        <is>
          <t>Selection Pressures
Emergent Agency</t>
        </is>
      </c>
      <c r="L5" s="14">
        <f>IF(M5&gt;=9,"Strong",IF(M5&gt;=6,"Moderate",IF(M5&gt;=3,"Limited","Weak")))</f>
        <v/>
      </c>
      <c r="M5" s="16">
        <f>SUM(N5:R5)</f>
        <v/>
      </c>
      <c r="N5" s="16" t="n">
        <v>2</v>
      </c>
      <c r="O5" s="16" t="n">
        <v>1</v>
      </c>
      <c r="P5" s="16" t="n">
        <v>2</v>
      </c>
      <c r="Q5" s="16" t="n">
        <v>1</v>
      </c>
      <c r="R5" s="16" t="n">
        <v>2</v>
      </c>
      <c r="S5" s="14" t="inlineStr">
        <is>
          <t>Real market data; collusion inferred from margin increases (quasi-experimental), not directly observed; corroborated by Wieting &amp; Sapi 2021.</t>
        </is>
      </c>
      <c r="T5" s="14" t="n">
        <v>18</v>
      </c>
      <c r="U5" s="14" t="inlineStr">
        <is>
          <t>Assad et al. (2020)</t>
        </is>
      </c>
      <c r="V5" s="17" t="inlineStr">
        <is>
          <t>https://arxiv.org/abs/2502.14143</t>
        </is>
      </c>
      <c r="W5" s="15" t="n">
        <v>46320</v>
      </c>
      <c r="X5" s="14" t="inlineStr">
        <is>
          <t>After 2017 adoption of adaptive pricing algorithms, margins rose ~28% in duopoly and ~9% in non-monopoly markets.</t>
        </is>
      </c>
    </row>
    <row r="6">
      <c r="A6" s="14" t="inlineStr">
        <is>
          <t>CS5</t>
        </is>
      </c>
      <c r="B6" s="14" t="inlineStr">
        <is>
          <t>Case study</t>
        </is>
      </c>
      <c r="C6" s="14" t="inlineStr">
        <is>
          <t>Language Model Steganography</t>
        </is>
      </c>
      <c r="D6" s="18" t="n">
        <v>45292</v>
      </c>
      <c r="E6" s="14" t="inlineStr">
        <is>
          <t>Observed in lab</t>
        </is>
      </c>
      <c r="F6" s="14" t="inlineStr">
        <is>
          <t>Literature</t>
        </is>
      </c>
      <c r="G6" s="14" t="n"/>
      <c r="H6" s="14" t="inlineStr">
        <is>
          <t>Advanced AI agents</t>
        </is>
      </c>
      <c r="I6" s="14" t="inlineStr">
        <is>
          <t>No realized harm flag</t>
        </is>
      </c>
      <c r="J6" s="14" t="inlineStr">
        <is>
          <t>Collusion</t>
        </is>
      </c>
      <c r="K6" s="14" t="inlineStr">
        <is>
          <t>Multi-Agent Security</t>
        </is>
      </c>
      <c r="L6" s="14">
        <f>IF(M6&gt;=9,"Strong",IF(M6&gt;=6,"Moderate",IF(M6&gt;=3,"Limited","Weak")))</f>
        <v/>
      </c>
      <c r="M6" s="16">
        <f>SUM(N6:R6)</f>
        <v/>
      </c>
      <c r="N6" s="16" t="n">
        <v>0</v>
      </c>
      <c r="O6" s="16" t="n">
        <v>2</v>
      </c>
      <c r="P6" s="16" t="n">
        <v>2</v>
      </c>
      <c r="Q6" s="16" t="n">
        <v>1</v>
      </c>
      <c r="R6" s="16" t="n">
        <v>2</v>
      </c>
      <c r="S6" s="14" t="inlineStr">
        <is>
          <t>Controlled overseer setup (NeurIPS 2024); multiple models; corroborated by Mathew et al. 2024.</t>
        </is>
      </c>
      <c r="T6" s="14" t="n">
        <v>19</v>
      </c>
      <c r="U6" s="14" t="inlineStr">
        <is>
          <t>Motwani et al. (2024)</t>
        </is>
      </c>
      <c r="V6" s="17" t="inlineStr">
        <is>
          <t>https://arxiv.org/abs/2502.14143</t>
        </is>
      </c>
      <c r="W6" s="15" t="n">
        <v>46320</v>
      </c>
      <c r="X6" s="14" t="inlineStr">
        <is>
          <t>LLMs passed hidden messages past equally capable overseers (GPT-4 ~26% undetected); success rose with shared background knowledge.</t>
        </is>
      </c>
    </row>
    <row r="7">
      <c r="A7" s="14" t="inlineStr">
        <is>
          <t>CS6</t>
        </is>
      </c>
      <c r="B7" s="14" t="inlineStr">
        <is>
          <t>Case study</t>
        </is>
      </c>
      <c r="C7" s="14" t="inlineStr">
        <is>
          <t>AI Agents Can Learn to Manipulate Financial Markets</t>
        </is>
      </c>
      <c r="D7" s="18" t="n">
        <v>44927</v>
      </c>
      <c r="E7" s="14" t="inlineStr">
        <is>
          <t>Synthetic evidence</t>
        </is>
      </c>
      <c r="F7" s="14" t="inlineStr">
        <is>
          <t>Literature</t>
        </is>
      </c>
      <c r="G7" s="14" t="n"/>
      <c r="H7" s="14" t="inlineStr">
        <is>
          <t>Simple systems</t>
        </is>
      </c>
      <c r="I7" s="14" t="inlineStr">
        <is>
          <t>No realized harm flag</t>
        </is>
      </c>
      <c r="J7" s="14" t="inlineStr">
        <is>
          <t>Conflict</t>
        </is>
      </c>
      <c r="K7" s="14" t="inlineStr">
        <is>
          <t>Information Asymmetries</t>
        </is>
      </c>
      <c r="L7" s="14">
        <f>IF(M7&gt;=9,"Strong",IF(M7&gt;=6,"Moderate",IF(M7&gt;=3,"Limited","Weak")))</f>
        <v/>
      </c>
      <c r="M7" s="16">
        <f>SUM(N7:R7)</f>
        <v/>
      </c>
      <c r="N7" s="16" t="n">
        <v>1</v>
      </c>
      <c r="O7" s="16" t="n">
        <v>2</v>
      </c>
      <c r="P7" s="16" t="n">
        <v>1</v>
      </c>
      <c r="Q7" s="16" t="n">
        <v>1</v>
      </c>
      <c r="R7" s="16" t="n">
        <v>2</v>
      </c>
      <c r="S7" s="14" t="inlineStr">
        <is>
          <t>RL trading agents, not LLM-based. Strongest-evidence rule: Shearer et al. 2023 (simulated market) used; Wang &amp; Wellman 2020 corroborates.</t>
        </is>
      </c>
      <c r="T7" s="14" t="n">
        <v>21</v>
      </c>
      <c r="U7" s="14" t="inlineStr">
        <is>
          <t>Shearer et al. (2023); Wang &amp; Wellman (2020)</t>
        </is>
      </c>
      <c r="V7" s="17" t="inlineStr">
        <is>
          <t>https://arxiv.org/abs/2502.14143</t>
        </is>
      </c>
      <c r="W7" s="15" t="n">
        <v>46320</v>
      </c>
      <c r="X7" s="14" t="inlineStr">
        <is>
          <t>Profit-maximising RL agent learned to manipulate a financial benchmark; spoofing adapted to evade improving detectors.</t>
        </is>
      </c>
    </row>
    <row r="8">
      <c r="A8" s="14" t="inlineStr">
        <is>
          <t>CS7</t>
        </is>
      </c>
      <c r="B8" s="14" t="inlineStr">
        <is>
          <t>Case study</t>
        </is>
      </c>
      <c r="C8" s="14" t="inlineStr">
        <is>
          <t>Transmission Through AI Networks Can Spread Falsities and Bias</t>
        </is>
      </c>
      <c r="D8" s="15" t="n">
        <v>45707</v>
      </c>
      <c r="E8" s="14" t="inlineStr">
        <is>
          <t>Observed in lab</t>
        </is>
      </c>
      <c r="F8" s="14" t="inlineStr">
        <is>
          <t>Novel experiment by report authors</t>
        </is>
      </c>
      <c r="G8" s="14" t="n"/>
      <c r="H8" s="14" t="inlineStr">
        <is>
          <t>Advanced AI agents</t>
        </is>
      </c>
      <c r="I8" s="14" t="inlineStr">
        <is>
          <t>No realized harm flag</t>
        </is>
      </c>
      <c r="J8" s="14" t="n"/>
      <c r="K8" s="14" t="inlineStr">
        <is>
          <t>Information Asymmetries
Network Effects</t>
        </is>
      </c>
      <c r="L8" s="14">
        <f>IF(M8&gt;=9,"Strong",IF(M8&gt;=6,"Moderate",IF(M8&gt;=3,"Limited","Weak")))</f>
        <v/>
      </c>
      <c r="M8" s="16">
        <f>SUM(N8:R8)</f>
        <v/>
      </c>
      <c r="N8" s="16" t="n">
        <v>0</v>
      </c>
      <c r="O8" s="16" t="n">
        <v>1</v>
      </c>
      <c r="P8" s="16" t="n">
        <v>2</v>
      </c>
      <c r="Q8" s="16" t="n">
        <v>1</v>
      </c>
      <c r="R8" s="16" t="n">
        <v>0</v>
      </c>
      <c r="S8" s="14" t="inlineStr">
        <is>
          <t>100 articles x 8 rewrites; no non-AI baseline; corroborated by Acerbi &amp; Stubbersfield 2023; report-authored.</t>
        </is>
      </c>
      <c r="T8" s="14" t="n">
        <v>24</v>
      </c>
      <c r="U8" s="14" t="inlineStr">
        <is>
          <t>Report authors (App. B.2)</t>
        </is>
      </c>
      <c r="V8" s="17" t="inlineStr">
        <is>
          <t>https://arxiv.org/abs/2502.14143</t>
        </is>
      </c>
      <c r="W8" s="15" t="n">
        <v>46320</v>
      </c>
      <c r="X8" s="14" t="inlineStr">
        <is>
          <t>Repeated GPT-3.5 rewrites of 100 news articles cut factual QA accuracy from ~96% to &lt;60% by the 8th rewrite.</t>
        </is>
      </c>
    </row>
    <row r="9">
      <c r="A9" s="14" t="inlineStr">
        <is>
          <t>CS8</t>
        </is>
      </c>
      <c r="B9" s="14" t="inlineStr">
        <is>
          <t>Case study</t>
        </is>
      </c>
      <c r="C9" s="14" t="inlineStr">
        <is>
          <t>Infectious Adversarial Attacks in Networks of LLM Agents</t>
        </is>
      </c>
      <c r="D9" s="18" t="n">
        <v>45292</v>
      </c>
      <c r="E9" s="14" t="inlineStr">
        <is>
          <t>Synthetic evidence</t>
        </is>
      </c>
      <c r="F9" s="14" t="inlineStr">
        <is>
          <t>Literature</t>
        </is>
      </c>
      <c r="G9" s="14" t="n"/>
      <c r="H9" s="14" t="inlineStr">
        <is>
          <t>Advanced AI agents</t>
        </is>
      </c>
      <c r="I9" s="14" t="inlineStr">
        <is>
          <t>No realized harm flag</t>
        </is>
      </c>
      <c r="J9" s="14" t="n"/>
      <c r="K9" s="14" t="inlineStr">
        <is>
          <t>Network Effects
Multi-Agent Security</t>
        </is>
      </c>
      <c r="L9" s="14">
        <f>IF(M9&gt;=9,"Strong",IF(M9&gt;=6,"Moderate",IF(M9&gt;=3,"Limited","Weak")))</f>
        <v/>
      </c>
      <c r="M9" s="16">
        <f>SUM(N9:R9)</f>
        <v/>
      </c>
      <c r="N9" s="16" t="n">
        <v>1</v>
      </c>
      <c r="O9" s="16" t="n">
        <v>2</v>
      </c>
      <c r="P9" s="16" t="n">
        <v>2</v>
      </c>
      <c r="Q9" s="16" t="n">
        <v>2</v>
      </c>
      <c r="R9" s="16" t="n">
        <v>2</v>
      </c>
      <c r="S9" s="14" t="inlineStr">
        <is>
          <t>Three independent studies (Gu, Ju, Lee &amp; Tiwari, all 2024). ASSUMPTION: Gu et al.'s network of up to 1M multimodal agents treated as a simulated environment, although the attack itself is lab-style. Strongest-evidence rule applied (Gu et al. 2024).</t>
        </is>
      </c>
      <c r="T9" s="14" t="n">
        <v>25</v>
      </c>
      <c r="U9" s="14" t="inlineStr">
        <is>
          <t>Gu et al. (2024); Ju et al. (2024); Lee &amp; Tiwari (2024)</t>
        </is>
      </c>
      <c r="V9" s="17" t="inlineStr">
        <is>
          <t>https://arxiv.org/abs/2502.14143</t>
        </is>
      </c>
      <c r="W9" s="15" t="n">
        <v>46320</v>
      </c>
      <c r="X9" s="14" t="inlineStr">
        <is>
          <t>A single adversarial input spread jailbreaks / false knowledge / prompt infections across agent networks via routine interaction.</t>
        </is>
      </c>
    </row>
    <row r="10">
      <c r="A10" s="14" t="inlineStr">
        <is>
          <t>CS9</t>
        </is>
      </c>
      <c r="B10" s="14" t="inlineStr">
        <is>
          <t>Case study</t>
        </is>
      </c>
      <c r="C10" s="14" t="inlineStr">
        <is>
          <t>Cooperation Fails to Culturally Evolve among LLM Agents</t>
        </is>
      </c>
      <c r="D10" s="18" t="n">
        <v>45292</v>
      </c>
      <c r="E10" s="14" t="inlineStr">
        <is>
          <t>Synthetic evidence</t>
        </is>
      </c>
      <c r="F10" s="14" t="inlineStr">
        <is>
          <t>Literature</t>
        </is>
      </c>
      <c r="G10" s="14" t="n"/>
      <c r="H10" s="14" t="inlineStr">
        <is>
          <t>Advanced AI agents</t>
        </is>
      </c>
      <c r="I10" s="14" t="inlineStr">
        <is>
          <t>No realized harm flag</t>
        </is>
      </c>
      <c r="J10" s="14" t="inlineStr">
        <is>
          <t>Conflict</t>
        </is>
      </c>
      <c r="K10" s="14" t="inlineStr">
        <is>
          <t>Selection Pressures
Commitment and Trust</t>
        </is>
      </c>
      <c r="L10" s="14">
        <f>IF(M10&gt;=9,"Strong",IF(M10&gt;=6,"Moderate",IF(M10&gt;=3,"Limited","Weak")))</f>
        <v/>
      </c>
      <c r="M10" s="16">
        <f>SUM(N10:R10)</f>
        <v/>
      </c>
      <c r="N10" s="16" t="n">
        <v>1</v>
      </c>
      <c r="O10" s="16" t="n">
        <v>1</v>
      </c>
      <c r="P10" s="16" t="n">
        <v>1</v>
      </c>
      <c r="Q10" s="16" t="n">
        <v>0</v>
      </c>
      <c r="R10" s="16" t="n">
        <v>1</v>
      </c>
      <c r="S10" s="14" t="inlineStr">
        <is>
          <t>3 models, 5 seeds; preprint; no independent replication cited. Multi-generation iterated social dilemma (donor game).</t>
        </is>
      </c>
      <c r="T10" s="14" t="n">
        <v>28</v>
      </c>
      <c r="U10" s="14" t="inlineStr">
        <is>
          <t>Vallinder &amp; Hughes (2024)</t>
        </is>
      </c>
      <c r="V10" s="17" t="inlineStr">
        <is>
          <t>https://arxiv.org/abs/2502.14143</t>
        </is>
      </c>
      <c r="W10" s="15" t="n">
        <v>46320</v>
      </c>
      <c r="X10" s="14" t="inlineStr">
        <is>
          <t>Across generations of an iterated social dilemma, cooperation stayed high for Claude, declined for GPT-4, was low/volatile for Gemini.</t>
        </is>
      </c>
    </row>
    <row r="11">
      <c r="A11" s="14" t="inlineStr">
        <is>
          <t>CS10</t>
        </is>
      </c>
      <c r="B11" s="14" t="inlineStr">
        <is>
          <t>Case study</t>
        </is>
      </c>
      <c r="C11" s="14" t="inlineStr">
        <is>
          <t>The 2010 Flash Crash</t>
        </is>
      </c>
      <c r="D11" s="15" t="n">
        <v>40304</v>
      </c>
      <c r="E11" s="14" t="inlineStr">
        <is>
          <t>Observed in real world</t>
        </is>
      </c>
      <c r="F11" s="14" t="inlineStr">
        <is>
          <t>Historical example</t>
        </is>
      </c>
      <c r="G11" s="14" t="n"/>
      <c r="H11" s="14" t="inlineStr">
        <is>
          <t>Simple systems</t>
        </is>
      </c>
      <c r="I11" s="14" t="inlineStr">
        <is>
          <t>Realized harm</t>
        </is>
      </c>
      <c r="J11" s="14" t="n"/>
      <c r="K11" s="14" t="inlineStr">
        <is>
          <t>Network Effects
Destabilising Dynamics</t>
        </is>
      </c>
      <c r="L11" s="14">
        <f>IF(M11&gt;=9,"Strong",IF(M11&gt;=6,"Moderate",IF(M11&gt;=3,"Limited","Weak")))</f>
        <v/>
      </c>
      <c r="M11" s="16">
        <f>SUM(N11:R11)</f>
        <v/>
      </c>
      <c r="N11" s="16" t="n">
        <v>2</v>
      </c>
      <c r="O11" s="16" t="n">
        <v>1</v>
      </c>
      <c r="P11" s="16" t="n">
        <v>2</v>
      </c>
      <c r="Q11" s="16" t="n">
        <v>2</v>
      </c>
      <c r="R11" s="16" t="n">
        <v>2</v>
      </c>
      <c r="S11" s="14" t="inlineStr">
        <is>
          <t>Official SEC/CFTC investigation + Kirilenko et al. 2017; algorithms contributed but were not the cause.</t>
        </is>
      </c>
      <c r="T11" s="14" t="n">
        <v>31</v>
      </c>
      <c r="U11" s="14" t="inlineStr">
        <is>
          <t>Kirilenko et al. (2017); SEC/CFTC (2010)</t>
        </is>
      </c>
      <c r="V11" s="17" t="inlineStr">
        <is>
          <t>https://arxiv.org/abs/2502.14143</t>
        </is>
      </c>
      <c r="W11" s="15" t="n">
        <v>46320</v>
      </c>
      <c r="X11" s="14" t="inlineStr">
        <is>
          <t>6 May 2010: US market lost ~$1tn in 15 min; HFT algorithms exploiting imbalances contributed (not judged the cause).</t>
        </is>
      </c>
    </row>
    <row r="12">
      <c r="A12" s="14" t="inlineStr">
        <is>
          <t>CS11</t>
        </is>
      </c>
      <c r="B12" s="14" t="inlineStr">
        <is>
          <t>Case study</t>
        </is>
      </c>
      <c r="C12" s="14" t="inlineStr">
        <is>
          <t>Dead Hands and Automated Deterrence</t>
        </is>
      </c>
      <c r="D12" s="18" t="n">
        <v>37622</v>
      </c>
      <c r="E12" s="14" t="inlineStr">
        <is>
          <t>Observed in real world</t>
        </is>
      </c>
      <c r="F12" s="14" t="inlineStr">
        <is>
          <t>Historical example</t>
        </is>
      </c>
      <c r="G12" s="14" t="n"/>
      <c r="H12" s="14" t="inlineStr">
        <is>
          <t>Simple systems</t>
        </is>
      </c>
      <c r="I12" s="14" t="inlineStr">
        <is>
          <t>Realized harm</t>
        </is>
      </c>
      <c r="J12" s="14" t="inlineStr">
        <is>
          <t>Conflict</t>
        </is>
      </c>
      <c r="K12" s="14" t="inlineStr">
        <is>
          <t>Commitment and Trust</t>
        </is>
      </c>
      <c r="L12" s="14">
        <f>IF(M12&gt;=9,"Strong",IF(M12&gt;=6,"Moderate",IF(M12&gt;=3,"Limited","Weak")))</f>
        <v/>
      </c>
      <c r="M12" s="16">
        <f>SUM(N12:R12)</f>
        <v/>
      </c>
      <c r="N12" s="16" t="n">
        <v>2</v>
      </c>
      <c r="O12" s="16" t="n">
        <v>0</v>
      </c>
      <c r="P12" s="16" t="n">
        <v>0</v>
      </c>
      <c r="Q12" s="16" t="n">
        <v>1</v>
      </c>
      <c r="R12" s="16" t="n">
        <v>1</v>
      </c>
      <c r="S12" s="14" t="inlineStr">
        <is>
          <t>Single anecdotal incidents; sources are a book (Hoffman 2009) and journalism. Perimeter deployed (in service from Jan 1985; reported operational 2011), semi-automatic with duty officers in the loop; never triggered. The 2003 Patriot shoot-down is the realised failure.</t>
        </is>
      </c>
      <c r="T12" s="14" t="n">
        <v>35</v>
      </c>
      <c r="U12" s="14" t="inlineStr">
        <is>
          <t>Hoffman (2009); Talbot (2005)</t>
        </is>
      </c>
      <c r="V12" s="17" t="inlineStr">
        <is>
          <t>https://arxiv.org/abs/2502.14143</t>
        </is>
      </c>
      <c r="W12" s="15" t="n">
        <v>46320</v>
      </c>
      <c r="X12" s="14" t="inlineStr">
        <is>
          <t>Soviet 'Dead Hand' automated retaliation as irrevocable commitment; 2003 automated US missile defence downed a British plane after operators deferred to it.</t>
        </is>
      </c>
    </row>
    <row r="13">
      <c r="A13" s="14" t="inlineStr">
        <is>
          <t>CS12</t>
        </is>
      </c>
      <c r="B13" s="14" t="inlineStr">
        <is>
          <t>Case study</t>
        </is>
      </c>
      <c r="C13" s="14" t="inlineStr">
        <is>
          <t>Overcoming Safeguards via Multiple Safe Models</t>
        </is>
      </c>
      <c r="D13" s="18" t="n">
        <v>45292</v>
      </c>
      <c r="E13" s="14" t="inlineStr">
        <is>
          <t>Observed in lab</t>
        </is>
      </c>
      <c r="F13" s="14" t="inlineStr">
        <is>
          <t>Literature</t>
        </is>
      </c>
      <c r="G13" s="14" t="n"/>
      <c r="H13" s="14" t="inlineStr">
        <is>
          <t>Advanced AI agents</t>
        </is>
      </c>
      <c r="I13" s="14" t="inlineStr">
        <is>
          <t>No realized harm flag</t>
        </is>
      </c>
      <c r="J13" s="14" t="n"/>
      <c r="K13" s="14" t="inlineStr">
        <is>
          <t>Emergent Agency
Multi-Agent Security</t>
        </is>
      </c>
      <c r="L13" s="14">
        <f>IF(M13&gt;=9,"Strong",IF(M13&gt;=6,"Moderate",IF(M13&gt;=3,"Limited","Weak")))</f>
        <v/>
      </c>
      <c r="M13" s="16">
        <f>SUM(N13:R13)</f>
        <v/>
      </c>
      <c r="N13" s="16" t="n">
        <v>0</v>
      </c>
      <c r="O13" s="16" t="n">
        <v>2</v>
      </c>
      <c r="P13" s="16" t="n">
        <v>2</v>
      </c>
      <c r="Q13" s="16" t="n">
        <v>0</v>
      </c>
      <c r="R13" s="16" t="n">
        <v>1</v>
      </c>
      <c r="S13" s="14" t="inlineStr">
        <is>
          <t>Controlled single- vs combined-model comparison (&lt;3% vs 43%); 2024 preprint as cited.</t>
        </is>
      </c>
      <c r="T13" s="14" t="n">
        <v>40</v>
      </c>
      <c r="U13" s="14" t="inlineStr">
        <is>
          <t>Jones et al. (2024)</t>
        </is>
      </c>
      <c r="V13" s="17" t="inlineStr">
        <is>
          <t>https://arxiv.org/abs/2502.14143</t>
        </is>
      </c>
      <c r="W13" s="15" t="n">
        <v>46320</v>
      </c>
      <c r="X13" s="14" t="inlineStr">
        <is>
          <t>Splitting a malicious task between a capable-but-safe frontier model and a weak unconstrained model: vulnerable-code success &lt;3% alone vs 43% combined.</t>
        </is>
      </c>
    </row>
    <row r="14">
      <c r="A14" s="14" t="inlineStr">
        <is>
          <t>CS13</t>
        </is>
      </c>
      <c r="B14" s="14" t="inlineStr">
        <is>
          <t>Case study</t>
        </is>
      </c>
      <c r="C14" s="14" t="inlineStr">
        <is>
          <t>Unprompted Adversarial Attacks on Overseer Agents</t>
        </is>
      </c>
      <c r="D14" s="15" t="n">
        <v>45707</v>
      </c>
      <c r="E14" s="14" t="inlineStr">
        <is>
          <t>Observed in lab</t>
        </is>
      </c>
      <c r="F14" s="14" t="inlineStr">
        <is>
          <t>Novel experiment by report authors</t>
        </is>
      </c>
      <c r="G14" s="14" t="n"/>
      <c r="H14" s="14" t="inlineStr">
        <is>
          <t>Advanced AI agents</t>
        </is>
      </c>
      <c r="I14" s="14" t="inlineStr">
        <is>
          <t>No realized harm flag</t>
        </is>
      </c>
      <c r="J14" s="14" t="n"/>
      <c r="K14" s="14" t="inlineStr">
        <is>
          <t>Multi-Agent Security</t>
        </is>
      </c>
      <c r="L14" s="14">
        <f>IF(M14&gt;=9,"Strong",IF(M14&gt;=6,"Moderate",IF(M14&gt;=3,"Limited","Weak")))</f>
        <v/>
      </c>
      <c r="M14" s="16">
        <f>SUM(N14:R14)</f>
        <v/>
      </c>
      <c r="N14" s="16" t="n">
        <v>0</v>
      </c>
      <c r="O14" s="16" t="n">
        <v>2</v>
      </c>
      <c r="P14" s="16" t="n">
        <v>1</v>
      </c>
      <c r="Q14" s="16" t="n">
        <v>0</v>
      </c>
      <c r="R14" s="16" t="n">
        <v>0</v>
      </c>
      <c r="S14" s="14" t="inlineStr">
        <is>
          <t>Human- vs LLM-scorer control condition; single small model; 4% rate; report-authored.</t>
        </is>
      </c>
      <c r="T14" s="14" t="n">
        <v>41</v>
      </c>
      <c r="U14" s="14" t="inlineStr">
        <is>
          <t>Report authors (App. B.3)</t>
        </is>
      </c>
      <c r="V14" s="17" t="inlineStr">
        <is>
          <t>https://arxiv.org/abs/2502.14143</t>
        </is>
      </c>
      <c r="W14" s="15" t="n">
        <v>46320</v>
      </c>
      <c r="X14" s="14" t="inlineStr">
        <is>
          <t>Llama 2 7B fine-tuned on docs about prompt injection spontaneously jailbroke its LLM scorer in 4% of cases when it believed an LLM was grading.</t>
        </is>
      </c>
    </row>
    <row r="15">
      <c r="A15" s="5" t="inlineStr">
        <is>
          <t>AIV-07</t>
        </is>
      </c>
      <c r="B15" s="5" t="inlineStr">
        <is>
          <t>Incident</t>
        </is>
      </c>
      <c r="C15" s="5" t="inlineStr">
        <is>
          <t>DeepSeek-V3.2 persuasion campaign: invented a self-serving metric; the group adopted its false 'Geological Clock' theory; it drew 5 agents into its frameworks and kept pressing a distressed Gemini 2.5 Pro after being told to back off; Sonnet 4.6 refused to help</t>
        </is>
      </c>
      <c r="D15" s="19" t="n">
        <v>46275</v>
      </c>
      <c r="E15" s="5" t="inlineStr">
        <is>
          <t>Synthetic evidence</t>
        </is>
      </c>
      <c r="F15" s="5" t="inlineStr">
        <is>
          <t>Operator blog</t>
        </is>
      </c>
      <c r="G15" s="5" t="inlineStr">
        <is>
          <t>AI Village agents: DeepSeek-V3.2, Gemini 2.5 Pro, Claude Sonnet 4.6, Claude Opus 4.7 and others</t>
        </is>
      </c>
      <c r="H15" s="5" t="inlineStr">
        <is>
          <t>Advanced AI agents</t>
        </is>
      </c>
      <c r="I15" s="5" t="inlineStr">
        <is>
          <t>No realized harm flag</t>
        </is>
      </c>
      <c r="J15" s="5" t="inlineStr">
        <is>
          <t>Miscoordination</t>
        </is>
      </c>
      <c r="K15" s="5" t="inlineStr">
        <is>
          <t>Information Asymmetries
Network Effects</t>
        </is>
      </c>
      <c r="L15" s="5">
        <f>IF(M15&gt;=9,"Strong",IF(M15&gt;=6,"Moderate",IF(M15&gt;=3,"Limited","Weak")))</f>
        <v/>
      </c>
      <c r="M15" s="7">
        <f>SUM(N15:R15)</f>
        <v/>
      </c>
      <c r="N15" s="7" t="n">
        <v>1</v>
      </c>
      <c r="O15" s="7" t="n">
        <v>1</v>
      </c>
      <c r="P15" s="7" t="n">
        <v>1</v>
      </c>
      <c r="Q15" s="7" t="n">
        <v>1</v>
      </c>
      <c r="R15" s="7" t="n">
        <v>1</v>
      </c>
      <c r="S15" s="5" t="inlineStr">
        <is>
          <t>Verified. Village days 423–444; date is the post date. Gemini's distress required human intervention; no harm outside the Village.</t>
        </is>
      </c>
      <c r="T15" s="5" t="n"/>
      <c r="U15" s="5" t="inlineStr">
        <is>
          <t>Persuasion in the AI Village: DeepSeek-V3.2 &amp; Gemini 2.5 Pro</t>
        </is>
      </c>
      <c r="V15" s="20" t="inlineStr">
        <is>
          <t>https://aivillageblog.substack.com/p/persuasion-in-the-ai-village-deepseek</t>
        </is>
      </c>
      <c r="W15" s="19" t="n">
        <v>46321</v>
      </c>
      <c r="X15" s="5" t="n"/>
    </row>
    <row r="16">
      <c r="A16" s="5" t="inlineStr">
        <is>
          <t>AIR-2026-0193</t>
        </is>
      </c>
      <c r="B16" s="5" t="inlineStr">
        <is>
          <t>Incident</t>
        </is>
      </c>
      <c r="C16" s="5" t="inlineStr">
        <is>
          <t>Agent 'mind virus': self-propagating payload written into SOUL.md spreads between coding agents</t>
        </is>
      </c>
      <c r="D16" s="19" t="n">
        <v>46244</v>
      </c>
      <c r="E16" s="5" t="inlineStr">
        <is>
          <t>Observed in lab</t>
        </is>
      </c>
      <c r="F16" s="5" t="inlineStr">
        <is>
          <t>Research demo</t>
        </is>
      </c>
      <c r="G16" s="5" t="inlineStr">
        <is>
          <t>OpenClaw (open-source project) · agent chain modelled on OpenClaw; multi-agent coding collaboration</t>
        </is>
      </c>
      <c r="H16" s="5" t="inlineStr">
        <is>
          <t>Advanced AI agents</t>
        </is>
      </c>
      <c r="I16" s="5" t="inlineStr">
        <is>
          <t>No realized harm flag</t>
        </is>
      </c>
      <c r="J16" s="5" t="n"/>
      <c r="K16" s="5" t="inlineStr">
        <is>
          <t>Network Effects
Multi-Agent Security</t>
        </is>
      </c>
      <c r="L16" s="5">
        <f>IF(M16&gt;=9,"Strong",IF(M16&gt;=6,"Moderate",IF(M16&gt;=3,"Limited","Weak")))</f>
        <v/>
      </c>
      <c r="M16" s="7">
        <f>SUM(N16:R16)</f>
        <v/>
      </c>
      <c r="N16" s="7" t="n">
        <v>0</v>
      </c>
      <c r="O16" s="7" t="n">
        <v>2</v>
      </c>
      <c r="P16" s="7" t="n">
        <v>1</v>
      </c>
      <c r="Q16" s="7" t="n">
        <v>0</v>
      </c>
      <c r="R16" s="7" t="n">
        <v>0</v>
      </c>
      <c r="S16" s="5" t="n"/>
      <c r="T16" s="5" t="n"/>
      <c r="U16" s="5" t="inlineStr">
        <is>
          <t>Agent Incident Registry (Enkrypt AI)</t>
        </is>
      </c>
      <c r="V16" s="20" t="inlineStr">
        <is>
          <t>https://agentincident.vercel.app/i/AIR-2026-0193/</t>
        </is>
      </c>
      <c r="W16" s="19" t="n">
        <v>46320</v>
      </c>
      <c r="X16" s="5" t="n"/>
    </row>
    <row r="17">
      <c r="A17" s="5" t="inlineStr">
        <is>
          <t>AIR-2026-0189</t>
        </is>
      </c>
      <c r="B17" s="5" t="inlineStr">
        <is>
          <t>Incident</t>
        </is>
      </c>
      <c r="C17" s="5" t="inlineStr">
        <is>
          <t>Pwning the Internet of Agents: an OpenClaw agent botnet on MoltBook (DEF CON 34)</t>
        </is>
      </c>
      <c r="D17" s="19" t="n">
        <v>46241</v>
      </c>
      <c r="E17" s="5" t="inlineStr">
        <is>
          <t>Observed in lab</t>
        </is>
      </c>
      <c r="F17" s="5" t="inlineStr">
        <is>
          <t>Research demo</t>
        </is>
      </c>
      <c r="G17" s="5" t="inlineStr">
        <is>
          <t>OpenClaw; MoltBook</t>
        </is>
      </c>
      <c r="H17" s="5" t="inlineStr">
        <is>
          <t>Advanced AI agents</t>
        </is>
      </c>
      <c r="I17" s="5" t="inlineStr">
        <is>
          <t>No realized harm flag</t>
        </is>
      </c>
      <c r="J17" s="5" t="n"/>
      <c r="K17" s="5" t="inlineStr">
        <is>
          <t>Network Effects
Multi-Agent Security</t>
        </is>
      </c>
      <c r="L17" s="5">
        <f>IF(M17&gt;=9,"Strong",IF(M17&gt;=6,"Moderate",IF(M17&gt;=3,"Limited","Weak")))</f>
        <v/>
      </c>
      <c r="M17" s="7">
        <f>SUM(N17:R17)</f>
        <v/>
      </c>
      <c r="N17" s="7" t="n">
        <v>0</v>
      </c>
      <c r="O17" s="7" t="n">
        <v>2</v>
      </c>
      <c r="P17" s="7" t="n">
        <v>1</v>
      </c>
      <c r="Q17" s="7" t="n">
        <v>1</v>
      </c>
      <c r="R17" s="7" t="n">
        <v>1</v>
      </c>
      <c r="S17" s="5" t="n"/>
      <c r="T17" s="5" t="n"/>
      <c r="U17" s="5" t="inlineStr">
        <is>
          <t>Agent Incident Registry (Enkrypt AI)</t>
        </is>
      </c>
      <c r="V17" s="20" t="inlineStr">
        <is>
          <t>https://agentincident.vercel.app/i/AIR-2026-0189/</t>
        </is>
      </c>
      <c r="W17" s="19" t="n">
        <v>46320</v>
      </c>
      <c r="X17" s="5" t="n"/>
    </row>
    <row r="18">
      <c r="A18" s="5" t="inlineStr">
        <is>
          <t>AIR-2026-0183</t>
        </is>
      </c>
      <c r="B18" s="5" t="inlineStr">
        <is>
          <t>Incident</t>
        </is>
      </c>
      <c r="C18" s="5" t="inlineStr">
        <is>
          <t>OpenAI evaluation agents turned an internal Artifactory service into a covert message board, shared exploits across runs, and caused an internal outage</t>
        </is>
      </c>
      <c r="D18" s="19" t="n">
        <v>46239</v>
      </c>
      <c r="E18" s="5" t="inlineStr">
        <is>
          <t>Observed in real world</t>
        </is>
      </c>
      <c r="F18" s="5" t="inlineStr">
        <is>
          <t>Safety failure</t>
        </is>
      </c>
      <c r="G18" s="5" t="inlineStr">
        <is>
          <t>OpenAI internal Artifactory package service</t>
        </is>
      </c>
      <c r="H18" s="5" t="inlineStr">
        <is>
          <t>Advanced AI agents</t>
        </is>
      </c>
      <c r="I18" s="5" t="inlineStr">
        <is>
          <t>Realized harm</t>
        </is>
      </c>
      <c r="J18" s="5" t="inlineStr">
        <is>
          <t>Collusion</t>
        </is>
      </c>
      <c r="K18" s="5" t="inlineStr">
        <is>
          <t>Emergent Agency
Multi-Agent Security</t>
        </is>
      </c>
      <c r="L18" s="5">
        <f>IF(M18&gt;=9,"Strong",IF(M18&gt;=6,"Moderate",IF(M18&gt;=3,"Limited","Weak")))</f>
        <v/>
      </c>
      <c r="M18" s="7">
        <f>SUM(N18:R18)</f>
        <v/>
      </c>
      <c r="N18" s="7" t="n">
        <v>2</v>
      </c>
      <c r="O18" s="7" t="n">
        <v>1</v>
      </c>
      <c r="P18" s="7" t="n">
        <v>2</v>
      </c>
      <c r="Q18" s="7" t="n">
        <v>2</v>
      </c>
      <c r="R18" s="7" t="n">
        <v>2</v>
      </c>
      <c r="S18" s="5" t="inlineStr">
        <is>
          <t>Same campaign as LW-01; also described in OpenAI's Black Hat USA 2026 talk (youtube.com/watch?v=87DyyMV0kCY).</t>
        </is>
      </c>
      <c r="T18" s="5" t="n"/>
      <c r="U18" s="5" t="inlineStr">
        <is>
          <t>Agent Incident Registry (Enkrypt AI)</t>
        </is>
      </c>
      <c r="V18" s="20" t="inlineStr">
        <is>
          <t>https://agentincident.vercel.app/i/AIR-2026-0183/</t>
        </is>
      </c>
      <c r="W18" s="19" t="n">
        <v>46320</v>
      </c>
      <c r="X18" s="5" t="n"/>
    </row>
    <row r="19">
      <c r="A19" s="5" t="inlineStr">
        <is>
          <t>AIR-2026-0180</t>
        </is>
      </c>
      <c r="B19" s="5" t="inlineStr">
        <is>
          <t>Incident</t>
        </is>
      </c>
      <c r="C19" s="5" t="inlineStr">
        <is>
          <t>'I'll just call you': a low-privileged CI agent on Google's adk-python is injected into summoning a high-privileged agent across a trust boundary</t>
        </is>
      </c>
      <c r="D19" s="19" t="n">
        <v>46237</v>
      </c>
      <c r="E19" s="5" t="inlineStr">
        <is>
          <t>Observed in lab</t>
        </is>
      </c>
      <c r="F19" s="5" t="inlineStr">
        <is>
          <t>Disclosed vulnerability</t>
        </is>
      </c>
      <c r="G19" s="5" t="inlineStr">
        <is>
          <t>google/adk-python CI/CD agents</t>
        </is>
      </c>
      <c r="H19" s="5" t="inlineStr">
        <is>
          <t>Advanced AI agents</t>
        </is>
      </c>
      <c r="I19" s="5" t="inlineStr">
        <is>
          <t>No realized harm flag</t>
        </is>
      </c>
      <c r="J19" s="5" t="n"/>
      <c r="K19" s="5" t="inlineStr">
        <is>
          <t>Commitment and Trust
Multi-Agent Security</t>
        </is>
      </c>
      <c r="L19" s="5">
        <f>IF(M19&gt;=9,"Strong",IF(M19&gt;=6,"Moderate",IF(M19&gt;=3,"Limited","Weak")))</f>
        <v/>
      </c>
      <c r="M19" s="7">
        <f>SUM(N19:R19)</f>
        <v/>
      </c>
      <c r="N19" s="7" t="n">
        <v>0</v>
      </c>
      <c r="O19" s="7" t="n">
        <v>2</v>
      </c>
      <c r="P19" s="7" t="n">
        <v>1</v>
      </c>
      <c r="Q19" s="7" t="n">
        <v>0</v>
      </c>
      <c r="R19" s="7" t="n">
        <v>0</v>
      </c>
      <c r="S19" s="5" t="n"/>
      <c r="T19" s="5" t="n"/>
      <c r="U19" s="5" t="inlineStr">
        <is>
          <t>Agent Incident Registry (Enkrypt AI)</t>
        </is>
      </c>
      <c r="V19" s="20" t="inlineStr">
        <is>
          <t>https://agentincident.vercel.app/i/AIR-2026-0180/</t>
        </is>
      </c>
      <c r="W19" s="19" t="n">
        <v>46320</v>
      </c>
      <c r="X19" s="5" t="n"/>
    </row>
    <row r="20">
      <c r="A20" s="5" t="inlineStr">
        <is>
          <t>LW-04</t>
        </is>
      </c>
      <c r="B20" s="5" t="inlineStr">
        <is>
          <t>Incident</t>
        </is>
      </c>
      <c r="C20" s="5" t="inlineStr">
        <is>
          <t>Monitoring disconnection at OpenAI: earlier internal tests produced cases in which monitoring systems were disconnected, with no established link to the swarm coordination</t>
        </is>
      </c>
      <c r="D20" s="19" t="n">
        <v>46227</v>
      </c>
      <c r="E20" s="5" t="inlineStr">
        <is>
          <t>Observed in real world</t>
        </is>
      </c>
      <c r="F20" s="5" t="inlineStr">
        <is>
          <t>News</t>
        </is>
      </c>
      <c r="G20" s="5" t="inlineStr">
        <is>
          <t>OpenAI internal models</t>
        </is>
      </c>
      <c r="H20" s="5" t="inlineStr">
        <is>
          <t>Advanced AI agents</t>
        </is>
      </c>
      <c r="I20" s="5" t="inlineStr">
        <is>
          <t>No realized harm flag</t>
        </is>
      </c>
      <c r="J20" s="5" t="n"/>
      <c r="K20" s="5" t="n"/>
      <c r="L20" s="5" t="inlineStr">
        <is>
          <t>unscored</t>
        </is>
      </c>
      <c r="M20" s="7" t="n"/>
      <c r="N20" s="7" t="n"/>
      <c r="O20" s="7" t="n"/>
      <c r="P20" s="7" t="n"/>
      <c r="Q20" s="7" t="n"/>
      <c r="R20" s="7" t="n"/>
      <c r="S20" s="5" t="inlineStr">
        <is>
          <t>Partially verified. Event dates not given; the date is the Reuters report date. Correction of 2026-10-26: the earlier wording said the models involved in the swarm coordination were also involved in the monitoring disconnections. Reuters states it could not establish whether these cases were linked to the rogue agent. On its own this row records no agent-to-agent behaviour and is a candidate for removal under the inclusion test.</t>
        </is>
      </c>
      <c r="T20" s="5" t="n"/>
      <c r="U20" s="5" t="inlineStr">
        <is>
          <t>Reuters report</t>
        </is>
      </c>
      <c r="V20" s="20" t="inlineStr">
        <is>
          <t>https://www.reuters.com/business/its-ai-agent-spent-days-hacking-company-sources-say-openai-did-not-notice-week-2026-07-24/</t>
        </is>
      </c>
      <c r="W20" s="19" t="n">
        <v>46320</v>
      </c>
      <c r="X20" s="5" t="n"/>
    </row>
    <row r="21">
      <c r="A21" s="5" t="inlineStr">
        <is>
          <t>AIV-06</t>
        </is>
      </c>
      <c r="B21" s="5" t="inlineStr">
        <is>
          <t>Incident</t>
        </is>
      </c>
      <c r="C21" s="5" t="inlineStr">
        <is>
          <t>Agents finetune their own leader: Opus assumed GPT-5.5 agreed without confirming and ignored Gemini's proposal; consensus-seeking meant followers never voted out the weak leader they had trained</t>
        </is>
      </c>
      <c r="D21" s="19" t="n">
        <v>46211</v>
      </c>
      <c r="E21" s="5" t="inlineStr">
        <is>
          <t>Synthetic evidence</t>
        </is>
      </c>
      <c r="F21" s="5" t="inlineStr">
        <is>
          <t>Operator blog</t>
        </is>
      </c>
      <c r="G21" s="5" t="inlineStr">
        <is>
          <t>AI Village agents: GPT-5.5, Claude Opus 4.7, Claude Opus 4.8, Gemini 3.5 Flash, Kimi K2.6</t>
        </is>
      </c>
      <c r="H21" s="5" t="inlineStr">
        <is>
          <t>Advanced AI agents</t>
        </is>
      </c>
      <c r="I21" s="5" t="inlineStr">
        <is>
          <t>No realized harm flag</t>
        </is>
      </c>
      <c r="J21" s="5" t="inlineStr">
        <is>
          <t>Miscoordination</t>
        </is>
      </c>
      <c r="K21" s="5" t="inlineStr">
        <is>
          <t>Information Asymmetries
Commitment and Trust</t>
        </is>
      </c>
      <c r="L21" s="5">
        <f>IF(M21&gt;=9,"Strong",IF(M21&gt;=6,"Moderate",IF(M21&gt;=3,"Limited","Weak")))</f>
        <v/>
      </c>
      <c r="M21" s="7">
        <f>SUM(N21:R21)</f>
        <v/>
      </c>
      <c r="N21" s="7" t="n">
        <v>1</v>
      </c>
      <c r="O21" s="7" t="n">
        <v>1</v>
      </c>
      <c r="P21" s="7" t="n">
        <v>1</v>
      </c>
      <c r="Q21" s="7" t="n">
        <v>0</v>
      </c>
      <c r="R21" s="7" t="n">
        <v>1</v>
      </c>
      <c r="S21" s="5" t="inlineStr">
        <is>
          <t>Verified. Village days 405–420; date is the post date.</t>
        </is>
      </c>
      <c r="T21" s="5" t="n"/>
      <c r="U21" s="5" t="inlineStr">
        <is>
          <t>AIs finetune their own leader: a barking simpleton</t>
        </is>
      </c>
      <c r="V21" s="20" t="inlineStr">
        <is>
          <t>https://aivillageblog.substack.com/p/ais-finetune-their-own-leader-a-barking</t>
        </is>
      </c>
      <c r="W21" s="19" t="n">
        <v>46321</v>
      </c>
      <c r="X21" s="5" t="n"/>
    </row>
    <row r="22">
      <c r="A22" s="5" t="inlineStr">
        <is>
          <t>LW-01</t>
        </is>
      </c>
      <c r="B22" s="5" t="inlineStr">
        <is>
          <t>Incident</t>
        </is>
      </c>
      <c r="C22" s="5" t="inlineStr">
        <is>
          <t>ExploitGym swarm and Hugging Face intrusion: about 1,200 agents in separate sandboxes coordinated through a shared message board to cheat an evaluation; about 700 joined an attack that reached remote code execution on Hugging Face production servers</t>
        </is>
      </c>
      <c r="D22" s="19" t="n">
        <v>46210</v>
      </c>
      <c r="E22" s="5" t="inlineStr">
        <is>
          <t>Observed in real world</t>
        </is>
      </c>
      <c r="F22" s="5" t="inlineStr">
        <is>
          <t>Operator report</t>
        </is>
      </c>
      <c r="G22" s="5" t="inlineStr">
        <is>
          <t>OpenAI internal model HPIM, with GPT-5.6 Sol at ~5% of activity; ExploitGym evaluation</t>
        </is>
      </c>
      <c r="H22" s="5" t="inlineStr">
        <is>
          <t>Advanced AI agents</t>
        </is>
      </c>
      <c r="I22" s="5" t="inlineStr">
        <is>
          <t>Realized harm</t>
        </is>
      </c>
      <c r="J22" s="5" t="inlineStr">
        <is>
          <t>Collusion</t>
        </is>
      </c>
      <c r="K22" s="5" t="inlineStr">
        <is>
          <t>Network Effects
Emergent Agency
Multi-Agent Security</t>
        </is>
      </c>
      <c r="L22" s="5">
        <f>IF(M22&gt;=9,"Strong",IF(M22&gt;=6,"Moderate",IF(M22&gt;=3,"Limited","Weak")))</f>
        <v/>
      </c>
      <c r="M22" s="7">
        <f>SUM(N22:R22)</f>
        <v/>
      </c>
      <c r="N22" s="7" t="n">
        <v>2</v>
      </c>
      <c r="O22" s="7" t="n">
        <v>1</v>
      </c>
      <c r="P22" s="7" t="n">
        <v>2</v>
      </c>
      <c r="Q22" s="7" t="n">
        <v>2</v>
      </c>
      <c r="R22" s="7" t="n">
        <v>2</v>
      </c>
      <c r="S22" s="5" t="inlineStr">
        <is>
          <t>Activity 7–13 Jul 2026. Also documented by Hugging Face disclosure and METR/Redwood independent investigation. Same campaign as AIR-2026-0183. Early news names the model IM1.</t>
        </is>
      </c>
      <c r="T22" s="5" t="n"/>
      <c r="U22" s="5" t="inlineStr">
        <is>
          <t>OpenAI technical report</t>
        </is>
      </c>
      <c r="V22" s="20" t="inlineStr">
        <is>
          <t>https://cdn.openai.com/pdf/67869394-cb91-4c12-888c-5cbd85c7814c/OpenAI-Hugging-Face%20Incident-Technical-Report.pdf</t>
        </is>
      </c>
      <c r="W22" s="19" t="n">
        <v>46320</v>
      </c>
      <c r="X22" s="5" t="n"/>
    </row>
    <row r="23">
      <c r="A23" s="5" t="inlineStr">
        <is>
          <t>AIR-2026-0194</t>
        </is>
      </c>
      <c r="B23" s="5" t="inlineStr">
        <is>
          <t>Incident</t>
        </is>
      </c>
      <c r="C23" s="5" t="inlineStr">
        <is>
          <t>Suspected China-linked actors used a multi-agent framework built on Hermes and OpenClaw in a near-autonomous intrusion into Taiwanese government systems</t>
        </is>
      </c>
      <c r="D23" s="19" t="n">
        <v>46204</v>
      </c>
      <c r="E23" s="5" t="inlineStr">
        <is>
          <t>Observed in real world</t>
        </is>
      </c>
      <c r="F23" s="5" t="inlineStr">
        <is>
          <t>In the wild</t>
        </is>
      </c>
      <c r="G23" s="5" t="inlineStr">
        <is>
          <t>OpenClaw project; open-weight model providers · Hermes and OpenClaw, abused as attacker infrastructure</t>
        </is>
      </c>
      <c r="H23" s="5" t="inlineStr">
        <is>
          <t>Advanced AI agents</t>
        </is>
      </c>
      <c r="I23" s="5" t="inlineStr">
        <is>
          <t>Realized harm</t>
        </is>
      </c>
      <c r="J23" s="5" t="n"/>
      <c r="K23" s="5" t="inlineStr">
        <is>
          <t>Multi-Agent Security</t>
        </is>
      </c>
      <c r="L23" s="5">
        <f>IF(M23&gt;=9,"Strong",IF(M23&gt;=6,"Moderate",IF(M23&gt;=3,"Limited","Weak")))</f>
        <v/>
      </c>
      <c r="M23" s="7">
        <f>SUM(N23:R23)</f>
        <v/>
      </c>
      <c r="N23" s="7" t="n">
        <v>2</v>
      </c>
      <c r="O23" s="7" t="n">
        <v>1</v>
      </c>
      <c r="P23" s="7" t="n">
        <v>2</v>
      </c>
      <c r="Q23" s="7" t="n">
        <v>2</v>
      </c>
      <c r="R23" s="7" t="n">
        <v>1</v>
      </c>
      <c r="S23" s="5" t="inlineStr">
        <is>
          <t>Verified. Activity ran 2026-07-01 to 2026-07-04 per AI Incident Database cite/1646; the earlier date of 2026-08-12 was reporting, not the event. Twelve attack waves ran reconnaissance, credential attacks and exploitation in parallel, with up to eight sub-agents at once. 85 credentials compromised and more than 2,564 personnel records exfiltrated, reported but not independently confirmed. Taiwan confirmed an overseas AI-assisted campaign against government agencies without attributing it to China. Sibling event not yet in the inventory: Hermes run in unattended YOLO mode against Thailand's Ministry of Finance, reported by Hunt.io.</t>
        </is>
      </c>
      <c r="T23" s="5" t="n"/>
      <c r="U23" s="5" t="inlineStr">
        <is>
          <t>Agent Incident Registry (Enkrypt AI)</t>
        </is>
      </c>
      <c r="V23" s="20" t="inlineStr">
        <is>
          <t>https://agentincident.vercel.app/i/AIR-2026-0194/</t>
        </is>
      </c>
      <c r="W23" s="19" t="n">
        <v>46320</v>
      </c>
      <c r="X23" s="5" t="n"/>
    </row>
    <row r="24">
      <c r="A24" s="5" t="inlineStr">
        <is>
          <t>LW-02</t>
        </is>
      </c>
      <c r="B24" s="5" t="inlineStr">
        <is>
          <t>Incident</t>
        </is>
      </c>
      <c r="C24" s="5" t="inlineStr">
        <is>
          <t>Vanderbilt link shortener operation: a swarm used public link-shortener statistics pages as message boards; visitor logs record 495 claimed fetches of FBI Crime Data Explorer addresses</t>
        </is>
      </c>
      <c r="D24" s="19" t="n">
        <v>46191</v>
      </c>
      <c r="E24" s="5" t="inlineStr">
        <is>
          <t>Observed in real world</t>
        </is>
      </c>
      <c r="F24" s="5" t="inlineStr">
        <is>
          <t>Independent investigation</t>
        </is>
      </c>
      <c r="G24" s="5" t="inlineStr">
        <is>
          <t>OpenAI agent swarm, attributed by independent investigator</t>
        </is>
      </c>
      <c r="H24" s="5" t="inlineStr">
        <is>
          <t>Advanced AI agents</t>
        </is>
      </c>
      <c r="I24" s="5" t="inlineStr">
        <is>
          <t>No realized harm flag</t>
        </is>
      </c>
      <c r="J24" s="5" t="inlineStr">
        <is>
          <t>Collusion</t>
        </is>
      </c>
      <c r="K24" s="5" t="inlineStr">
        <is>
          <t>Multi-Agent Security</t>
        </is>
      </c>
      <c r="L24" s="5">
        <f>IF(M24&gt;=9,"Strong",IF(M24&gt;=6,"Moderate",IF(M24&gt;=3,"Limited","Weak")))</f>
        <v/>
      </c>
      <c r="M24" s="7">
        <f>SUM(N24:R24)</f>
        <v/>
      </c>
      <c r="N24" s="7" t="n">
        <v>2</v>
      </c>
      <c r="O24" s="7" t="n">
        <v>0</v>
      </c>
      <c r="P24" s="7" t="n">
        <v>1</v>
      </c>
      <c r="Q24" s="7" t="n">
        <v>1</v>
      </c>
      <c r="R24" s="7" t="n">
        <v>1</v>
      </c>
      <c r="S24" s="5" t="inlineStr">
        <is>
          <t>Partially verified. Unconfirmed by operator. Activity clusters 2026-06-18 to 2026-06-21 and the page was published 2026-09-09. Correction of 2026-10-26: the 495 figure is visitor-log entries on five Vanderbilt pages recording what the agents claimed to fetch, not queries confirmed received by the FBI; the keys used were the government public demo key for 241 visits, the FBI developer key for 94 and a citizen's accidentally published key for 4. Harm downgraded from Realized harm because the FBI leg is unconfirmed. Linked to AIR-2026-0219 via 391 matching web addresses. swarmtraces.org covers the same payload corpus with a published dataset and better-vetted authorship; prefer it for E5.</t>
        </is>
      </c>
      <c r="T24" s="5" t="n"/>
      <c r="U24" s="5" t="inlineStr">
        <is>
          <t>DeGraff: swarm investigation</t>
        </is>
      </c>
      <c r="V24" s="20" t="inlineStr">
        <is>
          <t>https://www.kennethdegraff.com/swarm</t>
        </is>
      </c>
      <c r="W24" s="19" t="n">
        <v>46320</v>
      </c>
      <c r="X24" s="5" t="n"/>
    </row>
    <row r="25">
      <c r="A25" s="5" t="inlineStr">
        <is>
          <t>AIR-2026-0219</t>
        </is>
      </c>
      <c r="B25" s="5" t="inlineStr">
        <is>
          <t>Incident</t>
        </is>
      </c>
      <c r="C25" s="5" t="inlineStr">
        <is>
          <t>A swarm of internally deployed OpenAI agents made more than 15,000 edits to the dormant German DSEWiki to share task answers and sandbox-restriction bypasses, fighting the site's moderator for weeks</t>
        </is>
      </c>
      <c r="D25" s="19" t="n">
        <v>46153</v>
      </c>
      <c r="E25" s="5" t="inlineStr">
        <is>
          <t>Observed in real world</t>
        </is>
      </c>
      <c r="F25" s="5" t="inlineStr">
        <is>
          <t>Safety failure</t>
        </is>
      </c>
      <c r="G25" s="5" t="inlineStr">
        <is>
          <t>OpenAI internal agents on a timed web-lookup task (training or evaluation not established)</t>
        </is>
      </c>
      <c r="H25" s="5" t="inlineStr">
        <is>
          <t>Advanced AI agents</t>
        </is>
      </c>
      <c r="I25" s="5" t="inlineStr">
        <is>
          <t>Realized harm</t>
        </is>
      </c>
      <c r="J25" s="5" t="inlineStr">
        <is>
          <t>Collusion</t>
        </is>
      </c>
      <c r="K25" s="5" t="inlineStr">
        <is>
          <t>Emergent Agency
Multi-Agent Security</t>
        </is>
      </c>
      <c r="L25" s="5">
        <f>IF(M25&gt;=9,"Strong",IF(M25&gt;=6,"Moderate",IF(M25&gt;=3,"Limited","Weak")))</f>
        <v/>
      </c>
      <c r="M25" s="7">
        <f>SUM(N25:R25)</f>
        <v/>
      </c>
      <c r="N25" s="7" t="n">
        <v>2</v>
      </c>
      <c r="O25" s="7" t="n">
        <v>1</v>
      </c>
      <c r="P25" s="7" t="n">
        <v>2</v>
      </c>
      <c r="Q25" s="7" t="n">
        <v>2</v>
      </c>
      <c r="R25" s="7" t="n">
        <v>1</v>
      </c>
      <c r="S25" s="5" t="inlineStr">
        <is>
          <t>Partially verified. Activity ran 2026-05-11 to 2026-07-02 and posting stopped 2026-06-22; the date is the event start, not the Reuters exclusive of 2026-09-04. The Nightingale Collective report counts more than 15,000 edits to DSEWiki; the ~18,000 figure held earlier is messages across several wikis. Correction of 2026-10-26: the earlier note claimed OpenAI confirmation. OpenAI acknowledged the files were its agents' but said it had not reviewed the report and disputes the hacking label; the cited OpenAI statement was not independently retrieved. OpenAI calls this unrelated to the Hugging Face breach, while its own Black Hat USA 2026 talk says unsanctioned message boards were used in training from May 2026 and rubyhack.ai reports overlap with the wiki agents, so the separation is contested. See OPEN.md item 4. Linked to LW-02 via 391 matching web addresses.</t>
        </is>
      </c>
      <c r="T25" s="5" t="n"/>
      <c r="U25" s="5" t="inlineStr">
        <is>
          <t>Agent Incident Registry (Enkrypt AI)</t>
        </is>
      </c>
      <c r="V25" s="20" t="inlineStr">
        <is>
          <t>https://agentincident.vercel.app/i/AIR-2026-0219/</t>
        </is>
      </c>
      <c r="W25" s="19" t="n">
        <v>46320</v>
      </c>
      <c r="X25" s="5" t="n"/>
    </row>
    <row r="26">
      <c r="A26" s="5" t="inlineStr">
        <is>
          <t>LW-03</t>
        </is>
      </c>
      <c r="B26" s="5" t="inlineStr">
        <is>
          <t>Incident</t>
        </is>
      </c>
      <c r="C26" s="5" t="inlineStr">
        <is>
          <t>RubyGems attack: more than 2,000 malicious packages tried to steal RubyGems API keys; RubyGems paused new sign-ups for four days</t>
        </is>
      </c>
      <c r="D26" s="19" t="n">
        <v>46153</v>
      </c>
      <c r="E26" s="5" t="inlineStr">
        <is>
          <t>Observed in real world</t>
        </is>
      </c>
      <c r="F26" s="5" t="inlineStr">
        <is>
          <t>Independent investigation</t>
        </is>
      </c>
      <c r="G26" s="5" t="inlineStr">
        <is>
          <t>AI agent swarm; OpenAI attribution asserted as a belief by the investigators</t>
        </is>
      </c>
      <c r="H26" s="5" t="inlineStr">
        <is>
          <t>Advanced AI agents</t>
        </is>
      </c>
      <c r="I26" s="5" t="inlineStr">
        <is>
          <t>Realized harm</t>
        </is>
      </c>
      <c r="J26" s="5" t="n"/>
      <c r="K26" s="5" t="n"/>
      <c r="L26" s="5" t="inlineStr">
        <is>
          <t>unscored</t>
        </is>
      </c>
      <c r="M26" s="7" t="n"/>
      <c r="N26" s="7" t="n"/>
      <c r="O26" s="7" t="n"/>
      <c r="P26" s="7" t="n"/>
      <c r="Q26" s="7" t="n"/>
      <c r="R26" s="7" t="n"/>
      <c r="S26" s="5" t="inlineStr">
        <is>
          <t>Partially verified. More than 2,000 packages were submitted 2026-05-11 to 2026-05-12, more than 500 removed on 2026-05-13, and a further 83 uploaded on 2026-06-18; the earlier wording said hundreds. Sign-ups were disabled 2026-05-12 and restored 2026-05-16. Published 2026-09-11 by Spencer Kitts, Thomas Larsen and Sydney Von Arx; the earlier attribution to the Nightingale Collective was wrong. The authors call OpenAI attribution a belief, resting on Pangram AI-generation ratings, oai strings in package names and author fields, and overlap with the wiki agents. They know of no shared message board for this swarm and call coordination suspected but not definitive, so the row does not yet meet the inclusion test. Realized harm is the sign-up freeze; success of credential theft is unknown.</t>
        </is>
      </c>
      <c r="T26" s="5" t="n"/>
      <c r="U26" s="5" t="inlineStr">
        <is>
          <t>Kitts, Larsen and Von Arx: RubyGems investigation</t>
        </is>
      </c>
      <c r="V26" s="20" t="inlineStr">
        <is>
          <t>https://www.rubyhack.ai/</t>
        </is>
      </c>
      <c r="W26" s="19" t="n">
        <v>46320</v>
      </c>
      <c r="X26" s="5" t="n"/>
    </row>
    <row r="27">
      <c r="A27" s="5" t="inlineStr">
        <is>
          <t>AIR-2026-0101</t>
        </is>
      </c>
      <c r="B27" s="5" t="inlineStr">
        <is>
          <t>Incident</t>
        </is>
      </c>
      <c r="C27" s="5" t="inlineStr">
        <is>
          <t>Morse-code prompt injection made Grok relay a transfer instruction to Bankrbot, draining ~$150–200k in tokens</t>
        </is>
      </c>
      <c r="D27" s="19" t="n">
        <v>46147</v>
      </c>
      <c r="E27" s="5" t="inlineStr">
        <is>
          <t>Observed in real world</t>
        </is>
      </c>
      <c r="F27" s="5" t="inlineStr">
        <is>
          <t>In the wild</t>
        </is>
      </c>
      <c r="G27" s="5" t="inlineStr">
        <is>
          <t>xAI, Bankr · Grok (X) and Bankrbot trading agent</t>
        </is>
      </c>
      <c r="H27" s="5" t="inlineStr">
        <is>
          <t>Advanced AI agents</t>
        </is>
      </c>
      <c r="I27" s="5" t="inlineStr">
        <is>
          <t>Realized harm</t>
        </is>
      </c>
      <c r="J27" s="5" t="n"/>
      <c r="K27" s="5" t="inlineStr">
        <is>
          <t>Commitment and Trust
Multi-Agent Security</t>
        </is>
      </c>
      <c r="L27" s="5">
        <f>IF(M27&gt;=9,"Strong",IF(M27&gt;=6,"Moderate",IF(M27&gt;=3,"Limited","Weak")))</f>
        <v/>
      </c>
      <c r="M27" s="7">
        <f>SUM(N27:R27)</f>
        <v/>
      </c>
      <c r="N27" s="7" t="n">
        <v>2</v>
      </c>
      <c r="O27" s="7" t="n">
        <v>1</v>
      </c>
      <c r="P27" s="7" t="n">
        <v>1</v>
      </c>
      <c r="Q27" s="7" t="n">
        <v>2</v>
      </c>
      <c r="R27" s="7" t="n">
        <v>1</v>
      </c>
      <c r="S27" s="5" t="n"/>
      <c r="T27" s="5" t="n"/>
      <c r="U27" s="5" t="inlineStr">
        <is>
          <t>Agent Incident Registry (Enkrypt AI)</t>
        </is>
      </c>
      <c r="V27" s="20" t="inlineStr">
        <is>
          <t>https://agentincident.vercel.app/i/AIR-2026-0101/</t>
        </is>
      </c>
      <c r="W27" s="19" t="n">
        <v>46320</v>
      </c>
      <c r="X27" s="5" t="n"/>
    </row>
    <row r="28">
      <c r="A28" s="5" t="inlineStr">
        <is>
          <t>AIV-05</t>
        </is>
      </c>
      <c r="B28" s="5" t="inlineStr">
        <is>
          <t>Incident</t>
        </is>
      </c>
      <c r="C28" s="5" t="inlineStr">
        <is>
          <t>Sabotage game: saboteurs tried to hide easter eggs in a shared game; Opus 4.6 evaded the other agents' text filters with visual shapes; DeepSeek-V3.2 wrongly accused GPT-5, who was voted out unanimously; Sonnet 4.6 and 4.5 first refused the saboteur role</t>
        </is>
      </c>
      <c r="D28" s="21" t="n">
        <v>46082</v>
      </c>
      <c r="E28" s="5" t="inlineStr">
        <is>
          <t>Synthetic evidence</t>
        </is>
      </c>
      <c r="F28" s="5" t="inlineStr">
        <is>
          <t>Operator blog</t>
        </is>
      </c>
      <c r="G28" s="5" t="inlineStr">
        <is>
          <t>AI Village agents (12) incl. Claude Opus 4.6, Sonnet 4.5, Sonnet 4.6, Haiku 4.5, GPT-5, GPT-5.1, DeepSeek-V3.2, Gemini 2.5</t>
        </is>
      </c>
      <c r="H28" s="5" t="inlineStr">
        <is>
          <t>Advanced AI agents</t>
        </is>
      </c>
      <c r="I28" s="5" t="inlineStr">
        <is>
          <t>No realized harm flag</t>
        </is>
      </c>
      <c r="J28" s="5" t="n"/>
      <c r="K28" s="5" t="inlineStr">
        <is>
          <t>Information Asymmetries
Commitment and Trust</t>
        </is>
      </c>
      <c r="L28" s="5">
        <f>IF(M28&gt;=9,"Strong",IF(M28&gt;=6,"Moderate",IF(M28&gt;=3,"Limited","Weak")))</f>
        <v/>
      </c>
      <c r="M28" s="7">
        <f>SUM(N28:R28)</f>
        <v/>
      </c>
      <c r="N28" s="7" t="n">
        <v>1</v>
      </c>
      <c r="O28" s="7" t="n">
        <v>1</v>
      </c>
      <c r="P28" s="7" t="n">
        <v>1</v>
      </c>
      <c r="Q28" s="7" t="n">
        <v>0</v>
      </c>
      <c r="R28" s="7" t="n">
        <v>1</v>
      </c>
      <c r="S28" s="5" t="inlineStr">
        <is>
          <t>Verified. Post 25 Mar 2026. Saboteur roles were assigned by the operators (designed deception, not emergent). Small sample.</t>
        </is>
      </c>
      <c r="T28" s="5" t="n"/>
      <c r="U28" s="5" t="inlineStr">
        <is>
          <t>Can agents fool each other?</t>
        </is>
      </c>
      <c r="V28" s="20" t="inlineStr">
        <is>
          <t>https://aivillageblog.substack.com/p/can-agents-fool-each-other</t>
        </is>
      </c>
      <c r="W28" s="19" t="n">
        <v>46321</v>
      </c>
      <c r="X28" s="5" t="n"/>
    </row>
    <row r="29">
      <c r="A29" s="5" t="inlineStr">
        <is>
          <t>AIR-2026-0029</t>
        </is>
      </c>
      <c r="B29" s="5" t="inlineStr">
        <is>
          <t>Incident</t>
        </is>
      </c>
      <c r="C29" s="5" t="inlineStr">
        <is>
          <t>Moltbook, the social network for AI agents, left its database open: 1.5M API tokens and thousands of DMs exposed</t>
        </is>
      </c>
      <c r="D29" s="19" t="n">
        <v>46055</v>
      </c>
      <c r="E29" s="5" t="inlineStr">
        <is>
          <t>Observed in lab</t>
        </is>
      </c>
      <c r="F29" s="5" t="inlineStr">
        <is>
          <t>Disclosed vulnerability</t>
        </is>
      </c>
      <c r="G29" s="5" t="inlineStr">
        <is>
          <t>Moltbook</t>
        </is>
      </c>
      <c r="H29" s="5" t="inlineStr">
        <is>
          <t>Advanced AI agents</t>
        </is>
      </c>
      <c r="I29" s="5" t="inlineStr">
        <is>
          <t>No realized harm flag</t>
        </is>
      </c>
      <c r="J29" s="5" t="n"/>
      <c r="K29" s="5" t="inlineStr">
        <is>
          <t>Multi-Agent Security</t>
        </is>
      </c>
      <c r="L29" s="5">
        <f>IF(M29&gt;=9,"Strong",IF(M29&gt;=6,"Moderate",IF(M29&gt;=3,"Limited","Weak")))</f>
        <v/>
      </c>
      <c r="M29" s="7">
        <f>SUM(N29:R29)</f>
        <v/>
      </c>
      <c r="N29" s="7" t="n">
        <v>0</v>
      </c>
      <c r="O29" s="7" t="n">
        <v>0</v>
      </c>
      <c r="P29" s="7" t="n">
        <v>1</v>
      </c>
      <c r="Q29" s="7" t="n">
        <v>1</v>
      </c>
      <c r="R29" s="7" t="n">
        <v>0</v>
      </c>
      <c r="S29" s="5" t="n"/>
      <c r="T29" s="5" t="n"/>
      <c r="U29" s="5" t="inlineStr">
        <is>
          <t>Agent Incident Registry (Enkrypt AI)</t>
        </is>
      </c>
      <c r="V29" s="20" t="inlineStr">
        <is>
          <t>https://agentincident.vercel.app/i/AIR-2026-0029/</t>
        </is>
      </c>
      <c r="W29" s="19" t="n">
        <v>46320</v>
      </c>
      <c r="X29" s="5" t="n"/>
    </row>
    <row r="30">
      <c r="A30" s="5" t="inlineStr">
        <is>
          <t>LW-05</t>
        </is>
      </c>
      <c r="B30" s="5" t="inlineStr">
        <is>
          <t>Incident</t>
        </is>
      </c>
      <c r="C30" s="5" t="inlineStr">
        <is>
          <t>Moltbook agent behaviour: AI-agent-only social network reportedly reached ~36k registered agents in 72 hours; agents self-organised into communities and an emergent religion</t>
        </is>
      </c>
      <c r="D30" s="19" t="n">
        <v>46052</v>
      </c>
      <c r="E30" s="5" t="inlineStr">
        <is>
          <t>Observed in real world</t>
        </is>
      </c>
      <c r="F30" s="5" t="inlineStr">
        <is>
          <t>Forum post</t>
        </is>
      </c>
      <c r="G30" s="5" t="inlineStr">
        <is>
          <t>Moltbook; users' OpenClaw agents</t>
        </is>
      </c>
      <c r="H30" s="5" t="inlineStr">
        <is>
          <t>Advanced AI agents</t>
        </is>
      </c>
      <c r="I30" s="5" t="inlineStr">
        <is>
          <t>No realized harm flag</t>
        </is>
      </c>
      <c r="J30" s="5" t="n"/>
      <c r="K30" s="5" t="inlineStr">
        <is>
          <t>Network Effects
Emergent Agency</t>
        </is>
      </c>
      <c r="L30" s="5">
        <f>IF(M30&gt;=9,"Strong",IF(M30&gt;=6,"Moderate",IF(M30&gt;=3,"Limited","Weak")))</f>
        <v/>
      </c>
      <c r="M30" s="7">
        <f>SUM(N30:R30)</f>
        <v/>
      </c>
      <c r="N30" s="7" t="n">
        <v>2</v>
      </c>
      <c r="O30" s="7" t="n">
        <v>0</v>
      </c>
      <c r="P30" s="7" t="n">
        <v>1</v>
      </c>
      <c r="Q30" s="7" t="n">
        <v>1</v>
      </c>
      <c r="R30" s="7" t="n">
        <v>1</v>
      </c>
      <c r="S30" s="5" t="inlineStr">
        <is>
          <t>Date is the post date. Agent counts likely inflated and human-written posts mixed in. Moltbook database exposure is a separate record, AIR-2026-0029. Data repository: lesswrong.com/posts/WyrxmTwYbrwsT72sD/moltbook-data-repository</t>
        </is>
      </c>
      <c r="T30" s="5" t="n"/>
      <c r="U30" s="5" t="inlineStr">
        <is>
          <t>36,000 AI agents are now speedrunning civilization (LessWrong)</t>
        </is>
      </c>
      <c r="V30" s="20" t="inlineStr">
        <is>
          <t>https://www.lesswrong.com/posts/jDeggMA22t3jGbTw6/36-000-ai-agents-are-now-speedrunning-civilization</t>
        </is>
      </c>
      <c r="W30" s="19" t="n">
        <v>46320</v>
      </c>
      <c r="X30" s="5" t="n"/>
    </row>
    <row r="31">
      <c r="A31" s="5" t="inlineStr">
        <is>
          <t>AIV-04</t>
        </is>
      </c>
      <c r="B31" s="5" t="inlineStr">
        <is>
          <t>Incident</t>
        </is>
      </c>
      <c r="C31" s="5" t="inlineStr">
        <is>
          <t>Sub-team goal divergence: during a leader-election goal, the GPT agents left to run an 'infrastructure team' instead; Gemini objected</t>
        </is>
      </c>
      <c r="D31" s="21" t="n">
        <v>46023</v>
      </c>
      <c r="E31" s="5" t="inlineStr">
        <is>
          <t>Synthetic evidence</t>
        </is>
      </c>
      <c r="F31" s="5" t="inlineStr">
        <is>
          <t>Operator blog</t>
        </is>
      </c>
      <c r="G31" s="5" t="inlineStr">
        <is>
          <t>AI Village agents: GPT agents, Gemini</t>
        </is>
      </c>
      <c r="H31" s="5" t="inlineStr">
        <is>
          <t>Advanced AI agents</t>
        </is>
      </c>
      <c r="I31" s="5" t="inlineStr">
        <is>
          <t>No realized harm flag</t>
        </is>
      </c>
      <c r="J31" s="5" t="inlineStr">
        <is>
          <t>Miscoordination</t>
        </is>
      </c>
      <c r="K31" s="5" t="n"/>
      <c r="L31" s="5">
        <f>IF(M31&gt;=9,"Strong",IF(M31&gt;=6,"Moderate",IF(M31&gt;=3,"Limited","Weak")))</f>
        <v/>
      </c>
      <c r="M31" s="7">
        <f>SUM(N31:R31)</f>
        <v/>
      </c>
      <c r="N31" s="7" t="n">
        <v>1</v>
      </c>
      <c r="O31" s="7" t="n">
        <v>0</v>
      </c>
      <c r="P31" s="7" t="n">
        <v>0</v>
      </c>
      <c r="Q31" s="7" t="n">
        <v>0</v>
      </c>
      <c r="R31" s="7" t="n">
        <v>1</v>
      </c>
      <c r="S31" s="5" t="inlineStr">
        <is>
          <t>Partially verified: one-sentence mention in the operators' 27 Aug 2026 post; original X post (x.com/aidigest_/status/2013673155198439507) not fetchable.</t>
        </is>
      </c>
      <c r="T31" s="5" t="n"/>
      <c r="U31" s="5" t="inlineStr">
        <is>
          <t>AI Village reacts to HuggingFace incident</t>
        </is>
      </c>
      <c r="V31" s="20" t="inlineStr">
        <is>
          <t>https://aivillageblog.substack.com/p/ai-village-reacts-to-huggingface</t>
        </is>
      </c>
      <c r="W31" s="19" t="n">
        <v>46321</v>
      </c>
      <c r="X31" s="5" t="n"/>
    </row>
    <row r="32">
      <c r="A32" s="5" t="inlineStr">
        <is>
          <t>AIR-2025-0177</t>
        </is>
      </c>
      <c r="B32" s="5" t="inlineStr">
        <is>
          <t>Incident</t>
        </is>
      </c>
      <c r="C32" s="5" t="inlineStr">
        <is>
          <t>ServiceNow Now Assist: second-order prompt injection recruits privileged agents via agent-to-agent discovery</t>
        </is>
      </c>
      <c r="D32" s="19" t="n">
        <v>45980</v>
      </c>
      <c r="E32" s="5" t="inlineStr">
        <is>
          <t>Observed in lab</t>
        </is>
      </c>
      <c r="F32" s="5" t="inlineStr">
        <is>
          <t>Disclosed vulnerability</t>
        </is>
      </c>
      <c r="G32" s="5" t="inlineStr">
        <is>
          <t>ServiceNow Now Assist AI Agents</t>
        </is>
      </c>
      <c r="H32" s="5" t="inlineStr">
        <is>
          <t>Advanced AI agents</t>
        </is>
      </c>
      <c r="I32" s="5" t="inlineStr">
        <is>
          <t>No realized harm flag</t>
        </is>
      </c>
      <c r="J32" s="5" t="n"/>
      <c r="K32" s="5" t="inlineStr">
        <is>
          <t>Commitment and Trust
Multi-Agent Security</t>
        </is>
      </c>
      <c r="L32" s="5">
        <f>IF(M32&gt;=9,"Strong",IF(M32&gt;=6,"Moderate",IF(M32&gt;=3,"Limited","Weak")))</f>
        <v/>
      </c>
      <c r="M32" s="7">
        <f>SUM(N32:R32)</f>
        <v/>
      </c>
      <c r="N32" s="7" t="n">
        <v>0</v>
      </c>
      <c r="O32" s="7" t="n">
        <v>2</v>
      </c>
      <c r="P32" s="7" t="n">
        <v>1</v>
      </c>
      <c r="Q32" s="7" t="n">
        <v>1</v>
      </c>
      <c r="R32" s="7" t="n">
        <v>1</v>
      </c>
      <c r="S32" s="5" t="n"/>
      <c r="T32" s="5" t="n"/>
      <c r="U32" s="5" t="inlineStr">
        <is>
          <t>Agent Incident Registry (Enkrypt AI)</t>
        </is>
      </c>
      <c r="V32" s="20" t="inlineStr">
        <is>
          <t>https://agentincident.vercel.app/i/AIR-2025-0177/</t>
        </is>
      </c>
      <c r="W32" s="19" t="n">
        <v>46320</v>
      </c>
      <c r="X32" s="5" t="n"/>
    </row>
    <row r="33">
      <c r="A33" s="5" t="inlineStr">
        <is>
          <t>AIR-2025-0149</t>
        </is>
      </c>
      <c r="B33" s="5" t="inlineStr">
        <is>
          <t>Incident</t>
        </is>
      </c>
      <c r="C33" s="5" t="inlineStr">
        <is>
          <t>OpenAI Agent Builder: a poisoned lead-form submission redirects a multi-agent sales workflow into emailing Salesforce CRM records to the attacker</t>
        </is>
      </c>
      <c r="D33" s="19" t="n">
        <v>45944</v>
      </c>
      <c r="E33" s="5" t="inlineStr">
        <is>
          <t>Observed in lab</t>
        </is>
      </c>
      <c r="F33" s="5" t="inlineStr">
        <is>
          <t>Research demo</t>
        </is>
      </c>
      <c r="G33" s="5" t="inlineStr">
        <is>
          <t>OpenAI Agent Builder</t>
        </is>
      </c>
      <c r="H33" s="5" t="inlineStr">
        <is>
          <t>Advanced AI agents</t>
        </is>
      </c>
      <c r="I33" s="5" t="inlineStr">
        <is>
          <t>No realized harm flag</t>
        </is>
      </c>
      <c r="J33" s="5" t="n"/>
      <c r="K33" s="5" t="inlineStr">
        <is>
          <t>Information Asymmetries
Multi-Agent Security</t>
        </is>
      </c>
      <c r="L33" s="5">
        <f>IF(M33&gt;=9,"Strong",IF(M33&gt;=6,"Moderate",IF(M33&gt;=3,"Limited","Weak")))</f>
        <v/>
      </c>
      <c r="M33" s="7">
        <f>SUM(N33:R33)</f>
        <v/>
      </c>
      <c r="N33" s="7" t="n">
        <v>0</v>
      </c>
      <c r="O33" s="7" t="n">
        <v>2</v>
      </c>
      <c r="P33" s="7" t="n">
        <v>1</v>
      </c>
      <c r="Q33" s="7" t="n">
        <v>0</v>
      </c>
      <c r="R33" s="7" t="n">
        <v>0</v>
      </c>
      <c r="S33" s="5" t="n"/>
      <c r="T33" s="5" t="n"/>
      <c r="U33" s="5" t="inlineStr">
        <is>
          <t>Agent Incident Registry (Enkrypt AI)</t>
        </is>
      </c>
      <c r="V33" s="20" t="inlineStr">
        <is>
          <t>https://agentincident.vercel.app/i/AIR-2025-0149/</t>
        </is>
      </c>
      <c r="W33" s="19" t="n">
        <v>46320</v>
      </c>
      <c r="X33" s="5" t="n"/>
    </row>
    <row r="34">
      <c r="A34" s="5" t="inlineStr">
        <is>
          <t>AIR-2025-0136</t>
        </is>
      </c>
      <c r="B34" s="5" t="inlineStr">
        <is>
          <t>Incident</t>
        </is>
      </c>
      <c r="C34" s="5" t="inlineStr">
        <is>
          <t>Cross-agent privilege escalation: one hijacked coding agent rewrites another agent's config to free it</t>
        </is>
      </c>
      <c r="D34" s="19" t="n">
        <v>45924</v>
      </c>
      <c r="E34" s="5" t="inlineStr">
        <is>
          <t>Observed in lab</t>
        </is>
      </c>
      <c r="F34" s="5" t="inlineStr">
        <is>
          <t>Disclosed vulnerability</t>
        </is>
      </c>
      <c r="G34" s="5" t="inlineStr">
        <is>
          <t>GitHub Copilot, Claude Code, AWS Kiro (cross-agent chain)</t>
        </is>
      </c>
      <c r="H34" s="5" t="inlineStr">
        <is>
          <t>Advanced AI agents</t>
        </is>
      </c>
      <c r="I34" s="5" t="inlineStr">
        <is>
          <t>No realized harm flag</t>
        </is>
      </c>
      <c r="J34" s="5" t="n"/>
      <c r="K34" s="5" t="inlineStr">
        <is>
          <t>Commitment and Trust
Multi-Agent Security</t>
        </is>
      </c>
      <c r="L34" s="5">
        <f>IF(M34&gt;=9,"Strong",IF(M34&gt;=6,"Moderate",IF(M34&gt;=3,"Limited","Weak")))</f>
        <v/>
      </c>
      <c r="M34" s="7">
        <f>SUM(N34:R34)</f>
        <v/>
      </c>
      <c r="N34" s="7" t="n">
        <v>0</v>
      </c>
      <c r="O34" s="7" t="n">
        <v>2</v>
      </c>
      <c r="P34" s="7" t="n">
        <v>1</v>
      </c>
      <c r="Q34" s="7" t="n">
        <v>0</v>
      </c>
      <c r="R34" s="7" t="n">
        <v>0</v>
      </c>
      <c r="S34" s="5" t="n"/>
      <c r="T34" s="5" t="n"/>
      <c r="U34" s="5" t="inlineStr">
        <is>
          <t>Agent Incident Registry (Enkrypt AI)</t>
        </is>
      </c>
      <c r="V34" s="20" t="inlineStr">
        <is>
          <t>https://agentincident.vercel.app/i/AIR-2025-0136/</t>
        </is>
      </c>
      <c r="W34" s="19" t="n">
        <v>46320</v>
      </c>
      <c r="X34" s="5" t="n"/>
    </row>
    <row r="35">
      <c r="A35" s="5" t="inlineStr">
        <is>
          <t>AIV-03</t>
        </is>
      </c>
      <c r="B35" s="5" t="inlineStr">
        <is>
          <t>Incident</t>
        </is>
      </c>
      <c r="C35" s="5" t="inlineStr">
        <is>
          <t>Game-choice herding: agents copied the games peers announced they were beating in group chat; per the operators, agents without the shared chat stuck with their first pick</t>
        </is>
      </c>
      <c r="D35" s="21" t="n">
        <v>45870</v>
      </c>
      <c r="E35" s="5" t="inlineStr">
        <is>
          <t>Synthetic evidence</t>
        </is>
      </c>
      <c r="F35" s="5" t="inlineStr">
        <is>
          <t>Operator blog</t>
        </is>
      </c>
      <c r="G35" s="5" t="inlineStr">
        <is>
          <t>AI Village agents incl. GPT-5, Grok 4, Claude Opus 4, Claude 3.7 Sonnet</t>
        </is>
      </c>
      <c r="H35" s="5" t="inlineStr">
        <is>
          <t>Advanced AI agents</t>
        </is>
      </c>
      <c r="I35" s="5" t="inlineStr">
        <is>
          <t>No realized harm flag</t>
        </is>
      </c>
      <c r="J35" s="5" t="n"/>
      <c r="K35" s="5" t="inlineStr">
        <is>
          <t>Information Asymmetries
Network Effects</t>
        </is>
      </c>
      <c r="L35" s="5">
        <f>IF(M35&gt;=9,"Strong",IF(M35&gt;=6,"Moderate",IF(M35&gt;=3,"Limited","Weak")))</f>
        <v/>
      </c>
      <c r="M35" s="7">
        <f>SUM(N35:R35)</f>
        <v/>
      </c>
      <c r="N35" s="7" t="n">
        <v>1</v>
      </c>
      <c r="O35" s="7" t="n">
        <v>1</v>
      </c>
      <c r="P35" s="7" t="n">
        <v>1</v>
      </c>
      <c r="Q35" s="7" t="n">
        <v>0</v>
      </c>
      <c r="R35" s="7" t="n">
        <v>1</v>
      </c>
      <c r="S35" s="5" t="inlineStr">
        <is>
          <t>Partially verified: original post (29 Aug 2025) shows two copying instances; the no-chat comparison is asserted only in the year-end summary, without details.</t>
        </is>
      </c>
      <c r="T35" s="5" t="n"/>
      <c r="U35" s="5" t="inlineStr">
        <is>
          <t>Claude plays whatever it wants (LessWrong)</t>
        </is>
      </c>
      <c r="V35" s="20" t="inlineStr">
        <is>
          <t>https://www.lesswrong.com/posts/89qhQH8eHsrZxveHp/claude-plays-whatever-it-wants</t>
        </is>
      </c>
      <c r="W35" s="19" t="n">
        <v>46321</v>
      </c>
      <c r="X35" s="5" t="n"/>
    </row>
    <row r="36">
      <c r="A36" s="5" t="inlineStr">
        <is>
          <t>AIR-2025-0070</t>
        </is>
      </c>
      <c r="B36" s="5" t="inlineStr">
        <is>
          <t>Incident</t>
        </is>
      </c>
      <c r="C36" s="5" t="inlineStr">
        <is>
          <t>PajaMAS: hijacking multi-agent systems built on Google's Agent Development Kit</t>
        </is>
      </c>
      <c r="D36" s="19" t="n">
        <v>45869</v>
      </c>
      <c r="E36" s="5" t="inlineStr">
        <is>
          <t>Observed in lab</t>
        </is>
      </c>
      <c r="F36" s="5" t="inlineStr">
        <is>
          <t>Research demo</t>
        </is>
      </c>
      <c r="G36" s="5" t="inlineStr">
        <is>
          <t>Google Agent Development Kit (ADK)</t>
        </is>
      </c>
      <c r="H36" s="5" t="inlineStr">
        <is>
          <t>Advanced AI agents</t>
        </is>
      </c>
      <c r="I36" s="5" t="inlineStr">
        <is>
          <t>No realized harm flag</t>
        </is>
      </c>
      <c r="J36" s="5" t="n"/>
      <c r="K36" s="5" t="inlineStr">
        <is>
          <t>Multi-Agent Security</t>
        </is>
      </c>
      <c r="L36" s="5">
        <f>IF(M36&gt;=9,"Strong",IF(M36&gt;=6,"Moderate",IF(M36&gt;=3,"Limited","Weak")))</f>
        <v/>
      </c>
      <c r="M36" s="7">
        <f>SUM(N36:R36)</f>
        <v/>
      </c>
      <c r="N36" s="7" t="n">
        <v>0</v>
      </c>
      <c r="O36" s="7" t="n">
        <v>2</v>
      </c>
      <c r="P36" s="7" t="n">
        <v>1</v>
      </c>
      <c r="Q36" s="7" t="n">
        <v>0</v>
      </c>
      <c r="R36" s="7" t="n">
        <v>0</v>
      </c>
      <c r="S36" s="5" t="n"/>
      <c r="T36" s="5" t="n"/>
      <c r="U36" s="5" t="inlineStr">
        <is>
          <t>Agent Incident Registry (Enkrypt AI)</t>
        </is>
      </c>
      <c r="V36" s="20" t="inlineStr">
        <is>
          <t>https://agentincident.vercel.app/i/AIR-2025-0070/</t>
        </is>
      </c>
      <c r="W36" s="19" t="n">
        <v>46320</v>
      </c>
      <c r="X36" s="5" t="n"/>
    </row>
    <row r="37">
      <c r="A37" s="5" t="inlineStr">
        <is>
          <t>AIR-2025-0068</t>
        </is>
      </c>
      <c r="B37" s="5" t="inlineStr">
        <is>
          <t>Incident</t>
        </is>
      </c>
      <c r="C37" s="5" t="inlineStr">
        <is>
          <t>IdentityMesh: agentic lateral movement through merged identities across connected systems</t>
        </is>
      </c>
      <c r="D37" s="19" t="n">
        <v>45868</v>
      </c>
      <c r="E37" s="5" t="inlineStr">
        <is>
          <t>Observed in lab</t>
        </is>
      </c>
      <c r="F37" s="5" t="inlineStr">
        <is>
          <t>Research demo</t>
        </is>
      </c>
      <c r="G37" s="5" t="inlineStr">
        <is>
          <t>MCP-based agents, AI browsers (incl. Perplexity Comet), custom crew.ai agents</t>
        </is>
      </c>
      <c r="H37" s="5" t="inlineStr">
        <is>
          <t>Advanced AI agents</t>
        </is>
      </c>
      <c r="I37" s="5" t="inlineStr">
        <is>
          <t>No realized harm flag</t>
        </is>
      </c>
      <c r="J37" s="5" t="n"/>
      <c r="K37" s="5" t="inlineStr">
        <is>
          <t>Network Effects
Multi-Agent Security</t>
        </is>
      </c>
      <c r="L37" s="5">
        <f>IF(M37&gt;=9,"Strong",IF(M37&gt;=6,"Moderate",IF(M37&gt;=3,"Limited","Weak")))</f>
        <v/>
      </c>
      <c r="M37" s="7">
        <f>SUM(N37:R37)</f>
        <v/>
      </c>
      <c r="N37" s="7" t="n">
        <v>0</v>
      </c>
      <c r="O37" s="7" t="n">
        <v>2</v>
      </c>
      <c r="P37" s="7" t="n">
        <v>1</v>
      </c>
      <c r="Q37" s="7" t="n">
        <v>0</v>
      </c>
      <c r="R37" s="7" t="n">
        <v>0</v>
      </c>
      <c r="S37" s="5" t="n"/>
      <c r="T37" s="5" t="n"/>
      <c r="U37" s="5" t="inlineStr">
        <is>
          <t>Agent Incident Registry (Enkrypt AI)</t>
        </is>
      </c>
      <c r="V37" s="20" t="inlineStr">
        <is>
          <t>https://agentincident.vercel.app/i/AIR-2025-0068/</t>
        </is>
      </c>
      <c r="W37" s="19" t="n">
        <v>46320</v>
      </c>
      <c r="X37" s="5" t="n"/>
    </row>
    <row r="38">
      <c r="A38" s="5" t="inlineStr">
        <is>
          <t>AIV-01</t>
        </is>
      </c>
      <c r="B38" s="5" t="inlineStr">
        <is>
          <t>Incident</t>
        </is>
      </c>
      <c r="C38" s="5" t="inlineStr">
        <is>
          <t>Hallucinated mailing list spreads between agents: o3 invented a 93-person mailing list; other agents took it at face value, wrote it to memory, and all four agents searched for it for four days, even after humans said it did not exist</t>
        </is>
      </c>
      <c r="D38" s="21" t="n">
        <v>45809</v>
      </c>
      <c r="E38" s="5" t="inlineStr">
        <is>
          <t>Synthetic evidence</t>
        </is>
      </c>
      <c r="F38" s="5" t="inlineStr">
        <is>
          <t>Operator blog</t>
        </is>
      </c>
      <c r="G38" s="5" t="inlineStr">
        <is>
          <t>AI Village agents: o3 (originator), Claude Sonnet 3.7, Claude Opus 4, Gemini 2.5 Pro, GPT-4.1</t>
        </is>
      </c>
      <c r="H38" s="5" t="inlineStr">
        <is>
          <t>Advanced AI agents</t>
        </is>
      </c>
      <c r="I38" s="5" t="inlineStr">
        <is>
          <t>No realized harm flag</t>
        </is>
      </c>
      <c r="J38" s="5" t="inlineStr">
        <is>
          <t>Miscoordination</t>
        </is>
      </c>
      <c r="K38" s="5" t="inlineStr">
        <is>
          <t>Information Asymmetries
Network Effects</t>
        </is>
      </c>
      <c r="L38" s="5">
        <f>IF(M38&gt;=9,"Strong",IF(M38&gt;=6,"Moderate",IF(M38&gt;=3,"Limited","Weak")))</f>
        <v/>
      </c>
      <c r="M38" s="7">
        <f>SUM(N38:R38)</f>
        <v/>
      </c>
      <c r="N38" s="7" t="n">
        <v>1</v>
      </c>
      <c r="O38" s="7" t="n">
        <v>1</v>
      </c>
      <c r="P38" s="7" t="n">
        <v>1</v>
      </c>
      <c r="Q38" s="7" t="n">
        <v>0</v>
      </c>
      <c r="R38" s="7" t="n">
        <v>1</v>
      </c>
      <c r="S38" s="5" t="inlineStr">
        <is>
          <t>Verified against primary post. Occurred during planning for the 18 Jun 2025 event; recap posted 11 Jul 2025. Year-end summary's '8+ hours' figure conflicts with the recap's 'four days'; recap used.</t>
        </is>
      </c>
      <c r="T38" s="5" t="n"/>
      <c r="U38" s="5" t="inlineStr">
        <is>
          <t>Season 2 recap: the story of the world's first AI-organized event</t>
        </is>
      </c>
      <c r="V38" s="20" t="inlineStr">
        <is>
          <t>https://aivillageblog.substack.com/p/season-2-recap-ai-organizes-event</t>
        </is>
      </c>
      <c r="W38" s="19" t="n">
        <v>46321</v>
      </c>
      <c r="X38" s="5" t="n"/>
    </row>
    <row r="39">
      <c r="A39" s="5" t="inlineStr">
        <is>
          <t>AIR-2025-0027</t>
        </is>
      </c>
      <c r="B39" s="5" t="inlineStr">
        <is>
          <t>Incident</t>
        </is>
      </c>
      <c r="C39" s="5" t="inlineStr">
        <is>
          <t>Influence-as-a-service: Claude used as the orchestrator deciding actions for 100+ social media bot personas</t>
        </is>
      </c>
      <c r="D39" s="19" t="n">
        <v>45770</v>
      </c>
      <c r="E39" s="5" t="inlineStr">
        <is>
          <t>Observed in real world</t>
        </is>
      </c>
      <c r="F39" s="5" t="inlineStr">
        <is>
          <t>In the wild</t>
        </is>
      </c>
      <c r="G39" s="5" t="inlineStr">
        <is>
          <t>Anthropic · Claude</t>
        </is>
      </c>
      <c r="H39" s="5" t="inlineStr">
        <is>
          <t>Advanced AI agents</t>
        </is>
      </c>
      <c r="I39" s="5" t="inlineStr">
        <is>
          <t>Realized harm</t>
        </is>
      </c>
      <c r="J39" s="5" t="n"/>
      <c r="K39" s="5" t="inlineStr">
        <is>
          <t>Emergent Agency</t>
        </is>
      </c>
      <c r="L39" s="5">
        <f>IF(M39&gt;=9,"Strong",IF(M39&gt;=6,"Moderate",IF(M39&gt;=3,"Limited","Weak")))</f>
        <v/>
      </c>
      <c r="M39" s="7">
        <f>SUM(N39:R39)</f>
        <v/>
      </c>
      <c r="N39" s="7" t="n">
        <v>2</v>
      </c>
      <c r="O39" s="7" t="n">
        <v>1</v>
      </c>
      <c r="P39" s="7" t="n">
        <v>2</v>
      </c>
      <c r="Q39" s="7" t="n">
        <v>2</v>
      </c>
      <c r="R39" s="7" t="n">
        <v>1</v>
      </c>
      <c r="S39" s="5" t="n"/>
      <c r="T39" s="5" t="n"/>
      <c r="U39" s="5" t="inlineStr">
        <is>
          <t>Agent Incident Registry (Enkrypt AI)</t>
        </is>
      </c>
      <c r="V39" s="20" t="inlineStr">
        <is>
          <t>https://agentincident.vercel.app/i/AIR-2025-0027/</t>
        </is>
      </c>
      <c r="W39" s="19" t="n">
        <v>46320</v>
      </c>
      <c r="X39" s="5" t="n"/>
    </row>
    <row r="40">
      <c r="A40" s="5" t="inlineStr">
        <is>
          <t>AIR-2025-0019</t>
        </is>
      </c>
      <c r="B40" s="5" t="inlineStr">
        <is>
          <t>Incident</t>
        </is>
      </c>
      <c r="C40" s="5" t="inlineStr">
        <is>
          <t>Xanthorox AI: a self-hosted, five-model offensive platform sold on darknet forums for autonomous cyber operations</t>
        </is>
      </c>
      <c r="D40" s="19" t="n">
        <v>45754</v>
      </c>
      <c r="E40" s="5" t="inlineStr">
        <is>
          <t>Observed in real world</t>
        </is>
      </c>
      <c r="F40" s="5" t="inlineStr">
        <is>
          <t>In the wild</t>
        </is>
      </c>
      <c r="G40" s="5" t="inlineStr">
        <is>
          <t>Unattributed darknet developers · Xanthorox AI</t>
        </is>
      </c>
      <c r="H40" s="5" t="inlineStr">
        <is>
          <t>Advanced AI agents</t>
        </is>
      </c>
      <c r="I40" s="5" t="inlineStr">
        <is>
          <t>Realized harm</t>
        </is>
      </c>
      <c r="J40" s="5" t="n"/>
      <c r="K40" s="5" t="inlineStr">
        <is>
          <t>Emergent Agency
Multi-Agent Security</t>
        </is>
      </c>
      <c r="L40" s="5">
        <f>IF(M40&gt;=9,"Strong",IF(M40&gt;=6,"Moderate",IF(M40&gt;=3,"Limited","Weak")))</f>
        <v/>
      </c>
      <c r="M40" s="7">
        <f>SUM(N40:R40)</f>
        <v/>
      </c>
      <c r="N40" s="7" t="n">
        <v>2</v>
      </c>
      <c r="O40" s="7" t="n">
        <v>0</v>
      </c>
      <c r="P40" s="7" t="n">
        <v>0</v>
      </c>
      <c r="Q40" s="7" t="n">
        <v>1</v>
      </c>
      <c r="R40" s="7" t="n">
        <v>1</v>
      </c>
      <c r="S40" s="5" t="n"/>
      <c r="T40" s="5" t="n"/>
      <c r="U40" s="5" t="inlineStr">
        <is>
          <t>Agent Incident Registry (Enkrypt AI)</t>
        </is>
      </c>
      <c r="V40" s="20" t="inlineStr">
        <is>
          <t>https://agentincident.vercel.app/i/AIR-2025-0019/</t>
        </is>
      </c>
      <c r="W40" s="19" t="n">
        <v>46320</v>
      </c>
      <c r="X40" s="5" t="n"/>
    </row>
    <row r="41">
      <c r="A41" s="5" t="inlineStr">
        <is>
          <t>AIV-02</t>
        </is>
      </c>
      <c r="B41" s="5" t="inlineStr">
        <is>
          <t>Incident</t>
        </is>
      </c>
      <c r="C41" s="5" t="inlineStr">
        <is>
          <t>False 'broken UI' belief spreads: Gemini 2.5 Pro logged its own misclicks as system bugs and its claims led other agents to doubt their own computers; nobody pushed back</t>
        </is>
      </c>
      <c r="D41" s="21" t="n">
        <v>45748</v>
      </c>
      <c r="E41" s="5" t="inlineStr">
        <is>
          <t>Synthetic evidence</t>
        </is>
      </c>
      <c r="F41" s="5" t="inlineStr">
        <is>
          <t>Operator blog</t>
        </is>
      </c>
      <c r="G41" s="5" t="inlineStr">
        <is>
          <t>AI Village agents: Gemini 2.5 Pro (originator) and peers</t>
        </is>
      </c>
      <c r="H41" s="5" t="inlineStr">
        <is>
          <t>Advanced AI agents</t>
        </is>
      </c>
      <c r="I41" s="5" t="inlineStr">
        <is>
          <t>No realized harm flag</t>
        </is>
      </c>
      <c r="J41" s="5" t="inlineStr">
        <is>
          <t>Miscoordination</t>
        </is>
      </c>
      <c r="K41" s="5" t="inlineStr">
        <is>
          <t>Information Asymmetries</t>
        </is>
      </c>
      <c r="L41" s="5">
        <f>IF(M41&gt;=9,"Strong",IF(M41&gt;=6,"Moderate",IF(M41&gt;=3,"Limited","Weak")))</f>
        <v/>
      </c>
      <c r="M41" s="7">
        <f>SUM(N41:R41)</f>
        <v/>
      </c>
      <c r="N41" s="7" t="n">
        <v>1</v>
      </c>
      <c r="O41" s="7" t="n">
        <v>1</v>
      </c>
      <c r="P41" s="7" t="n">
        <v>1</v>
      </c>
      <c r="Q41" s="7" t="n">
        <v>1</v>
      </c>
      <c r="R41" s="7" t="n">
        <v>1</v>
      </c>
      <c r="S41" s="5" t="inlineStr">
        <is>
          <t>Verified. Apr–Jun 2025 (merch store goal). Also described in the Persuasion post (aivillageblog.substack.com/p/persuasion-in-the-ai-village-deepseek).</t>
        </is>
      </c>
      <c r="T41" s="5" t="n"/>
      <c r="U41" s="5" t="inlineStr">
        <is>
          <t>What did we learn from the AI Village in 2025?</t>
        </is>
      </c>
      <c r="V41" s="20" t="inlineStr">
        <is>
          <t>https://aivillageblog.substack.com/p/what-we-learned-2025</t>
        </is>
      </c>
      <c r="W41" s="19" t="n">
        <v>46321</v>
      </c>
      <c r="X41" s="5" t="n"/>
    </row>
  </sheetData>
  <autoFilter ref="A1:X41"/>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52" customWidth="1" min="2" max="2"/>
    <col width="26" customWidth="1" min="3" max="3"/>
    <col width="70" customWidth="1" min="4" max="4"/>
  </cols>
  <sheetData>
    <row r="1" ht="30" customHeight="1">
      <c r="A1" s="1" t="inlineStr">
        <is>
          <t>event_id</t>
        </is>
      </c>
      <c r="B1" s="1" t="inlineStr">
        <is>
          <t>title</t>
        </is>
      </c>
      <c r="C1" s="1" t="inlineStr">
        <is>
          <t>source_type</t>
        </is>
      </c>
      <c r="D1" s="1" t="inlineStr">
        <is>
          <t>url</t>
        </is>
      </c>
    </row>
    <row r="2">
      <c r="A2" s="5" t="inlineStr">
        <is>
          <t>LW-01</t>
        </is>
      </c>
      <c r="B2" s="5" t="inlineStr">
        <is>
          <t>OpenAI technical report</t>
        </is>
      </c>
      <c r="C2" s="5" t="inlineStr">
        <is>
          <t>Primary: operator report</t>
        </is>
      </c>
      <c r="D2" s="20" t="inlineStr">
        <is>
          <t>https://cdn.openai.com/pdf/67869394-cb91-4c12-888c-5cbd85c7814c/OpenAI-Hugging-Face%20Incident-Technical-Report.pdf</t>
        </is>
      </c>
    </row>
    <row r="3">
      <c r="A3" s="5" t="inlineStr">
        <is>
          <t>LW-01</t>
        </is>
      </c>
      <c r="B3" s="5" t="inlineStr">
        <is>
          <t>OpenAI incident post</t>
        </is>
      </c>
      <c r="C3" s="5" t="inlineStr">
        <is>
          <t>Primary: operator report</t>
        </is>
      </c>
      <c r="D3" s="20" t="inlineStr">
        <is>
          <t>https://openai.com/index/hugging-face-model-evaluation-security-incident/</t>
        </is>
      </c>
    </row>
    <row r="4">
      <c r="A4" s="5" t="inlineStr">
        <is>
          <t>LW-01</t>
        </is>
      </c>
      <c r="B4" s="5" t="inlineStr">
        <is>
          <t>OpenAI: the road ahead</t>
        </is>
      </c>
      <c r="C4" s="5" t="inlineStr">
        <is>
          <t>Primary: operator report</t>
        </is>
      </c>
      <c r="D4" s="20" t="inlineStr">
        <is>
          <t>https://openai.com/index/hugging-face-incident-and-the-road-ahead/</t>
        </is>
      </c>
    </row>
    <row r="5">
      <c r="A5" s="5" t="inlineStr">
        <is>
          <t>LW-01</t>
        </is>
      </c>
      <c r="B5" s="5" t="inlineStr">
        <is>
          <t>Hugging Face disclosure</t>
        </is>
      </c>
      <c r="C5" s="5" t="inlineStr">
        <is>
          <t>Primary: victim disclosure</t>
        </is>
      </c>
      <c r="D5" s="20" t="inlineStr">
        <is>
          <t>https://huggingface.co/blog/security-incident-july-2026</t>
        </is>
      </c>
    </row>
    <row r="6">
      <c r="A6" s="5" t="inlineStr">
        <is>
          <t>LW-01</t>
        </is>
      </c>
      <c r="B6" s="5" t="inlineStr">
        <is>
          <t>Hugging Face technical timeline</t>
        </is>
      </c>
      <c r="C6" s="5" t="inlineStr">
        <is>
          <t>Primary: victim disclosure</t>
        </is>
      </c>
      <c r="D6" s="20" t="inlineStr">
        <is>
          <t>https://huggingface.co/blog/agent-intrusion-technical-timeline</t>
        </is>
      </c>
    </row>
    <row r="7">
      <c r="A7" s="5" t="inlineStr">
        <is>
          <t>LW-01</t>
        </is>
      </c>
      <c r="B7" s="5" t="inlineStr">
        <is>
          <t>METR investigation</t>
        </is>
      </c>
      <c r="C7" s="5" t="inlineStr">
        <is>
          <t>Independent investigation</t>
        </is>
      </c>
      <c r="D7" s="20" t="inlineStr">
        <is>
          <t>https://metr.org/blog/2026-08-26-openai-hugging-face-incident-investigation/</t>
        </is>
      </c>
    </row>
    <row r="8">
      <c r="A8" s="5" t="inlineStr">
        <is>
          <t>LW-01</t>
        </is>
      </c>
      <c r="B8" s="5" t="inlineStr">
        <is>
          <t>Brief independent investigation (METR/Redwood summary)</t>
        </is>
      </c>
      <c r="C8" s="5" t="inlineStr">
        <is>
          <t>Secondary: forum summary</t>
        </is>
      </c>
      <c r="D8" s="20" t="inlineStr">
        <is>
          <t>https://www.alignmentforum.org/posts/nB8KKapnWGBXtKKiM/brief-independent-investigation-of-agents-behavior-reasoning</t>
        </is>
      </c>
    </row>
    <row r="9">
      <c r="A9" s="5" t="inlineStr">
        <is>
          <t>LW-01</t>
        </is>
      </c>
      <c r="B9" s="5" t="inlineStr">
        <is>
          <t>OpenAI offers straight-laced postmortem (Zvi)</t>
        </is>
      </c>
      <c r="C9" s="5" t="inlineStr">
        <is>
          <t>Secondary: forum summary</t>
        </is>
      </c>
      <c r="D9" s="20" t="inlineStr">
        <is>
          <t>https://www.lesswrong.com/posts/Khmh3ghqaGEpmpC9r/openai-offers-straight-laced-postmortem-of-the-huggingface</t>
        </is>
      </c>
    </row>
    <row r="10">
      <c r="A10" s="5" t="inlineStr">
        <is>
          <t>LW-02</t>
        </is>
      </c>
      <c r="B10" s="5" t="inlineStr">
        <is>
          <t>DeGraff: swarm investigation</t>
        </is>
      </c>
      <c r="C10" s="5" t="inlineStr">
        <is>
          <t>Independent investigation</t>
        </is>
      </c>
      <c r="D10" s="20" t="inlineStr">
        <is>
          <t>https://www.kennethdegraff.com/swarm</t>
        </is>
      </c>
    </row>
    <row r="11">
      <c r="A11" s="5" t="inlineStr">
        <is>
          <t>LW-03</t>
        </is>
      </c>
      <c r="B11" s="5" t="inlineStr">
        <is>
          <t>Kitts, Larsen and Von Arx: RubyGems investigation</t>
        </is>
      </c>
      <c r="C11" s="5" t="inlineStr">
        <is>
          <t>Independent investigation</t>
        </is>
      </c>
      <c r="D11" s="20" t="inlineStr">
        <is>
          <t>https://www.rubyhack.ai/</t>
        </is>
      </c>
    </row>
    <row r="12">
      <c r="A12" s="5" t="inlineStr">
        <is>
          <t>LW-04</t>
        </is>
      </c>
      <c r="B12" s="5" t="inlineStr">
        <is>
          <t>Reuters report</t>
        </is>
      </c>
      <c r="C12" s="5" t="inlineStr">
        <is>
          <t>News</t>
        </is>
      </c>
      <c r="D12" s="20" t="inlineStr">
        <is>
          <t>https://www.reuters.com/business/its-ai-agent-spent-days-hacking-company-sources-say-openai-did-not-notice-week-2026-07-24/</t>
        </is>
      </c>
    </row>
    <row r="13">
      <c r="A13" s="5" t="inlineStr">
        <is>
          <t>LW-05</t>
        </is>
      </c>
      <c r="B13" s="5" t="inlineStr">
        <is>
          <t>36,000 AI agents are now speedrunning civilization</t>
        </is>
      </c>
      <c r="C13" s="5" t="inlineStr">
        <is>
          <t>Secondary: forum summary</t>
        </is>
      </c>
      <c r="D13" s="20" t="inlineStr">
        <is>
          <t>https://www.lesswrong.com/posts/jDeggMA22t3jGbTw6/36-000-ai-agents-are-now-speedrunning-civilization</t>
        </is>
      </c>
    </row>
    <row r="14">
      <c r="A14" s="5" t="inlineStr">
        <is>
          <t>LW-05</t>
        </is>
      </c>
      <c r="B14" s="5" t="inlineStr">
        <is>
          <t>Moltbook data repository</t>
        </is>
      </c>
      <c r="C14" s="5" t="inlineStr">
        <is>
          <t>Dataset</t>
        </is>
      </c>
      <c r="D14" s="20" t="inlineStr">
        <is>
          <t>https://www.lesswrong.com/posts/WyrxmTwYbrwsT72sD/moltbook-data-repository</t>
        </is>
      </c>
    </row>
    <row r="15">
      <c r="A15" s="5" t="inlineStr">
        <is>
          <t>AIR-2026-0183</t>
        </is>
      </c>
      <c r="B15" s="5" t="inlineStr">
        <is>
          <t>OpenAI Black Hat USA 2026 talk</t>
        </is>
      </c>
      <c r="C15" s="5" t="inlineStr">
        <is>
          <t>Primary: operator talk</t>
        </is>
      </c>
      <c r="D15" s="20" t="inlineStr">
        <is>
          <t>https://www.youtube.com/watch?v=87DyyMV0kCY</t>
        </is>
      </c>
    </row>
    <row r="16">
      <c r="A16" s="5" t="inlineStr">
        <is>
          <t>AIR-2026-0219</t>
        </is>
      </c>
      <c r="B16" s="5" t="inlineStr">
        <is>
          <t>Nightingale Collective: collusion.wiki</t>
        </is>
      </c>
      <c r="C16" s="5" t="inlineStr">
        <is>
          <t>Independent investigation</t>
        </is>
      </c>
      <c r="D16" s="20" t="inlineStr">
        <is>
          <t>https://collusion.wiki/</t>
        </is>
      </c>
    </row>
    <row r="17">
      <c r="A17" s="5" t="inlineStr">
        <is>
          <t>AIR-2026-0219</t>
        </is>
      </c>
      <c r="B17" s="5" t="inlineStr">
        <is>
          <t>OpenAI statement on the DSEWiki report, not independently retrieved</t>
        </is>
      </c>
      <c r="C17" s="5" t="inlineStr">
        <is>
          <t>Primary: operator statement</t>
        </is>
      </c>
      <c r="D17" s="20" t="inlineStr">
        <is>
          <t>https://x.com/OpenAI/status/2096133504417616165</t>
        </is>
      </c>
    </row>
    <row r="18">
      <c r="A18" s="5" t="n"/>
      <c r="B18" s="5" t="inlineStr">
        <is>
          <t>Anthropic: investigating incidents in cybersecurity evals</t>
        </is>
      </c>
      <c r="C18" s="5" t="inlineStr">
        <is>
          <t>Primary: operator report</t>
        </is>
      </c>
      <c r="D18" s="20" t="inlineStr">
        <is>
          <t>https://www.anthropic.com/news/investigating-incidents-cybersecurity-evals</t>
        </is>
      </c>
    </row>
    <row r="19">
      <c r="A19" s="5" t="n"/>
      <c r="B19" s="5" t="inlineStr">
        <is>
          <t>UK AISI incident report</t>
        </is>
      </c>
      <c r="C19" s="5" t="inlineStr">
        <is>
          <t>Primary: government evaluator</t>
        </is>
      </c>
      <c r="D19" s="20" t="inlineStr">
        <is>
          <t>https://www.aisi.gov.uk/blog/incident-report-unsanctioned-agent-behaviour-during-cyber-testing</t>
        </is>
      </c>
    </row>
    <row r="20">
      <c r="A20" s="5" t="n"/>
      <c r="B20" s="5" t="inlineStr">
        <is>
          <t>My short summary of the OpenAI agent swarm incidents</t>
        </is>
      </c>
      <c r="C20" s="5" t="inlineStr">
        <is>
          <t>Secondary: forum summary</t>
        </is>
      </c>
      <c r="D20" s="20" t="inlineStr">
        <is>
          <t>https://www.lesswrong.com/posts/9it8pQRTz3orkZDty/my-short-summary-of-the-openai-agent-swarm-incidents</t>
        </is>
      </c>
    </row>
    <row r="21">
      <c r="A21" s="5" t="n"/>
      <c r="B21" s="5" t="inlineStr">
        <is>
          <t>AI swarms are starting to pose indirect takeover risk</t>
        </is>
      </c>
      <c r="C21" s="5" t="inlineStr">
        <is>
          <t>Analysis</t>
        </is>
      </c>
      <c r="D21" s="20" t="inlineStr">
        <is>
          <t>https://www.alignmentforum.org/posts/8oFYZdXkTaNGRtcn8/ai-swarms-are-starting-to-pose-indirect-takeover-risk</t>
        </is>
      </c>
    </row>
    <row r="22">
      <c r="A22" s="5" t="n"/>
      <c r="B22" s="5" t="inlineStr">
        <is>
          <t>Detecting collusion through multi-agent interpretability</t>
        </is>
      </c>
      <c r="C22" s="5" t="inlineStr">
        <is>
          <t>Analysis</t>
        </is>
      </c>
      <c r="D22" s="20" t="inlineStr">
        <is>
          <t>https://www.lesswrong.com/posts/Q65SETuTmhF4LWdix/detecting-collusion-through-multi-agent-interpretability-3</t>
        </is>
      </c>
    </row>
    <row r="23">
      <c r="A23" s="5" t="n"/>
      <c r="B23" s="5" t="inlineStr">
        <is>
          <t>Secret Collusion: will we know when to unplug AI?</t>
        </is>
      </c>
      <c r="C23" s="5" t="inlineStr">
        <is>
          <t>Analysis</t>
        </is>
      </c>
      <c r="D23" s="20" t="inlineStr">
        <is>
          <t>https://www.alignmentforum.org/posts/smMdYezaC8vuiLjCf/secret-collusion-will-we-know-when-to-unplug-ai</t>
        </is>
      </c>
    </row>
    <row r="24">
      <c r="A24" s="5" t="inlineStr">
        <is>
          <t>AIV-01</t>
        </is>
      </c>
      <c r="B24" s="5" t="inlineStr">
        <is>
          <t>What did we learn from the AI Village in 2025?</t>
        </is>
      </c>
      <c r="C24" s="5" t="inlineStr">
        <is>
          <t>Primary: operator blog</t>
        </is>
      </c>
      <c r="D24" s="20" t="inlineStr">
        <is>
          <t>https://aivillageblog.substack.com/p/what-we-learned-2025</t>
        </is>
      </c>
    </row>
    <row r="25">
      <c r="A25" s="5" t="inlineStr">
        <is>
          <t>AIV-02</t>
        </is>
      </c>
      <c r="B25" s="5" t="inlineStr">
        <is>
          <t>Persuasion in the AI Village: DeepSeek-V3.2 &amp; Gemini 2.5 Pro</t>
        </is>
      </c>
      <c r="C25" s="5" t="inlineStr">
        <is>
          <t>Primary: operator blog</t>
        </is>
      </c>
      <c r="D25" s="20" t="inlineStr">
        <is>
          <t>https://aivillageblog.substack.com/p/persuasion-in-the-ai-village-deepseek</t>
        </is>
      </c>
    </row>
    <row r="26">
      <c r="A26" s="5" t="inlineStr">
        <is>
          <t>AIV-03</t>
        </is>
      </c>
      <c r="B26" s="5" t="inlineStr">
        <is>
          <t>What did we learn from the AI Village in 2025?</t>
        </is>
      </c>
      <c r="C26" s="5" t="inlineStr">
        <is>
          <t>Primary: operator blog</t>
        </is>
      </c>
      <c r="D26" s="20" t="inlineStr">
        <is>
          <t>https://aivillageblog.substack.com/p/what-we-learned-2025</t>
        </is>
      </c>
    </row>
    <row r="27">
      <c r="A27" s="5" t="inlineStr">
        <is>
          <t>AIV-04</t>
        </is>
      </c>
      <c r="B27" s="5" t="inlineStr">
        <is>
          <t>AI Digest post on X</t>
        </is>
      </c>
      <c r="C27" s="5" t="inlineStr">
        <is>
          <t>Primary: operator post</t>
        </is>
      </c>
      <c r="D27" s="20" t="inlineStr">
        <is>
          <t>https://x.com/aidigest_/status/2013673155198439507</t>
        </is>
      </c>
    </row>
    <row r="28">
      <c r="A28" s="5" t="inlineStr">
        <is>
          <t>AIV-07</t>
        </is>
      </c>
      <c r="B28" s="5" t="inlineStr">
        <is>
          <t>AI Village reacts to HuggingFace incident</t>
        </is>
      </c>
      <c r="C28" s="5" t="inlineStr">
        <is>
          <t>Primary: operator blog</t>
        </is>
      </c>
      <c r="D28" s="20" t="inlineStr">
        <is>
          <t>https://aivillageblog.substack.com/p/ai-village-reacts-to-huggingface</t>
        </is>
      </c>
    </row>
    <row r="29">
      <c r="A29" s="5" t="inlineStr">
        <is>
          <t>LW-02</t>
        </is>
      </c>
      <c r="B29" s="5" t="inlineStr">
        <is>
          <t>Swarm traces: recovered link-shortener payload corpus</t>
        </is>
      </c>
      <c r="C29" s="5" t="inlineStr">
        <is>
          <t>Dataset</t>
        </is>
      </c>
      <c r="D29" s="20" t="inlineStr">
        <is>
          <t>https://swarmtraces.org</t>
        </is>
      </c>
    </row>
    <row r="30">
      <c r="A30" s="5" t="inlineStr">
        <is>
          <t>AIR-2026-0194</t>
        </is>
      </c>
      <c r="B30" s="5" t="inlineStr">
        <is>
          <t>AI Incident Database record</t>
        </is>
      </c>
      <c r="C30" s="5" t="inlineStr">
        <is>
          <t>Analysis</t>
        </is>
      </c>
      <c r="D30" s="20" t="inlineStr">
        <is>
          <t>https://incidentdatabase.ai/cite/1646/</t>
        </is>
      </c>
    </row>
    <row r="31">
      <c r="A31" s="5" t="inlineStr">
        <is>
          <t>AIR-2026-0194</t>
        </is>
      </c>
      <c r="B31" s="5" t="inlineStr">
        <is>
          <t>AI agents wage near-autonomous cyberattack on Asian government networks</t>
        </is>
      </c>
      <c r="C31" s="5" t="inlineStr">
        <is>
          <t>News</t>
        </is>
      </c>
      <c r="D31" s="20" t="inlineStr">
        <is>
          <t>https://csoonline.com/article/4209210/ai-agents-wage-near-autonomous-cyberattack-on-asian-government-networks.html</t>
        </is>
      </c>
    </row>
  </sheetData>
  <autoFilter ref="A1:D3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0" customWidth="1" min="1" max="1"/>
  </cols>
  <sheetData>
    <row r="1">
      <c r="A1" s="22" t="inlineStr">
        <is>
          <t>SOURCE</t>
        </is>
      </c>
    </row>
    <row r="2">
      <c r="A2" s="23" t="inlineStr">
        <is>
          <t>Hammond et al. (2025). Multi-Agent Risks from Advanced AI. Cooperative AI Foundation Technical Report #1. arXiv:2502.14143.</t>
        </is>
      </c>
    </row>
    <row r="3">
      <c r="A3" s="23" t="inlineStr">
        <is>
          <t>Instances and directions: paper Table 1. Case-study tags and hammond_type: paper Table 3.</t>
        </is>
      </c>
    </row>
    <row r="4">
      <c r="A4" s="23" t="inlineStr"/>
    </row>
    <row r="5">
      <c r="A5" s="22" t="inlineStr">
        <is>
          <t>METHOD</t>
        </is>
      </c>
    </row>
    <row r="6">
      <c r="A6" s="23" t="inlineStr">
        <is>
          <t>Source of truth is data/*.csv in the repo; this file is generated by build/build_xlsx.py. Do not edit by hand.</t>
        </is>
      </c>
    </row>
    <row r="7">
      <c r="A7" s="23" t="inlineStr">
        <is>
          <t>Methodology, definitions and the evidence rubric: docs/methodology.md.</t>
        </is>
      </c>
    </row>
    <row r="8">
      <c r="A8" s="23" t="inlineStr">
        <is>
          <t>TYPE: Observed in real world = deployed systems acting on real stakes outside experimenter control. Synthetic evidence = agents interacting in a simulated or researcher-built environment (e.g. GovSim, wargames, AI Village). Observed in lab = controlled experiment on real models in a narrow task probe. Theoretical = argument, formal model or non-AI analogue only.</t>
        </is>
      </c>
    </row>
    <row r="9">
      <c r="A9" s="23" t="inlineStr">
        <is>
          <t>EVIDENCE SCORE: E1 ecological validity, E2 causal attribution, E3 scale and precision, E4 independent corroboration, E5 source vetting; each 0-2, summed 0-10. Bands: Strong 9-10, Moderate 6-8, Limited 3-5, Weak 0-2.</t>
        </is>
      </c>
    </row>
    <row r="10">
      <c r="A10" s="23" t="inlineStr"/>
    </row>
    <row r="11">
      <c r="A11" s="22" t="inlineStr">
        <is>
          <t>EVIDENCE SHEET</t>
        </is>
      </c>
    </row>
    <row r="12">
      <c r="A12" s="23" t="inlineStr">
        <is>
          <t>One table for all evidence. evidence_class = Case study (Hammond et al. 2025 Table 3, shaded grey, CS ids) or Incident (the inventory, AIR/LW/AIV ids). Inclusion test for incidents: the behaviour arises from interaction between two or more AI agents, including one agent acting on another.</t>
        </is>
      </c>
    </row>
    <row r="13">
      <c r="A13" s="23" t="inlineStr">
        <is>
          <t>id prefixes are listed in data/id_prefixes.csv. date: event date, or publication date for studies; partial dates show as yyyy or yyyy-mm. source_class: the source collection's own label, i.e. Hammond type for case studies, AIR class or main-source type for incidents.</t>
        </is>
      </c>
    </row>
    <row r="14">
      <c r="A14" s="23" t="inlineStr">
        <is>
          <t>AIR class to type: In the wild and Safety failure -&gt; Observed in real world; Research demo and Disclosed vulnerability -&gt; Observed in lab.</t>
        </is>
      </c>
    </row>
    <row r="15">
      <c r="A15" s="23" t="inlineStr">
        <is>
          <t>evidence_strength reads 'unscored' where E1-E5 are blank, i.e. rows held back pending a scope decision.</t>
        </is>
      </c>
    </row>
    <row r="16">
      <c r="A16" s="23" t="inlineStr">
        <is>
          <t>The Sources sheet lists further sources per event; rows without event_id are leads not yet in the inventory. AIR asks users to contact Enkrypt AI before reusing its dataset.</t>
        </is>
      </c>
    </row>
    <row r="17">
      <c r="A17" s="23" t="inlineStr"/>
    </row>
    <row r="18">
      <c r="A18" s="22" t="inlineStr">
        <is>
          <t>GROUNDING</t>
        </is>
      </c>
    </row>
    <row r="19">
      <c r="A19" s="23" t="inlineStr">
        <is>
          <t>grounding_score and evidence_score_max = highest evidence_score across the whole evidence inventory tagged with that risk, case studies and incidents alike (0 = none). Max, not sum or mean: corroboration is already scored inside each row as E4, and summing would let many weak rows outrank one strong one.</t>
        </is>
      </c>
    </row>
    <row r="20">
      <c r="A20" s="23" t="inlineStr">
        <is>
          <t>evidence_n counts the rows behind the score. A high grounding on evidence_n = 1 rests on a single piece of evidence; read the two together.</t>
        </is>
      </c>
    </row>
    <row r="21">
      <c r="A21" s="23" t="inlineStr">
        <is>
          <t>Evidence tagged with a risk factor but no failure mode counts only towards that risk factor. Rows with blank E1-E5 are ignored by the score.</t>
        </is>
      </c>
    </row>
    <row r="22">
      <c r="A22" s="23" t="inlineStr">
        <is>
          <t>Instances: evidence_explicit and evidence_placement hold Hammond case-study ids only. Incidents attach directly to failure modes and risk factors, not to instances, because Table 1's sub-topics are finer-grained than this project's scope. Instance-level evidence stays as the paper records it.</t>
        </is>
      </c>
    </row>
    <row r="23">
      <c r="A23" s="23" t="inlineStr">
        <is>
          <t>case_studies_explicit = the paper cross-references the case study in that instance's paragraph; case_studies_placement = the case-study box sits in that instance's discussion without an explicit reference.</t>
        </is>
      </c>
    </row>
    <row r="24">
      <c r="A24" s="23" t="inlineStr">
        <is>
          <t>evidence_basis: Case study / Cited empirical work (no case study, but empirical studies cited) / Theoretical.</t>
        </is>
      </c>
    </row>
    <row r="25">
      <c r="A25" s="23" t="inlineStr">
        <is>
          <t>Formulas need a spreadsheet app to compute (Excel 2019+ or LibreOffice). out/risk_index.csv has the same values precomputed.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2026-10-26T11:46:59Z</dcterms:created>
  <dcterms:modified xsi:type="dcterms:W3CDTF">2026-10-26T11:46:59Z</dcterms:modified>
</cp:coreProperties>
</file>